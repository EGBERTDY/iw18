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6"/>
  </bookViews>
  <sheets>
    <sheet name="10" sheetId="1" r:id="rId1"/>
    <sheet name="20" sheetId="2" r:id="rId2"/>
    <sheet name="Sheet1" sheetId="8" r:id="rId3"/>
    <sheet name="30" sheetId="3" r:id="rId4"/>
    <sheet name="40" sheetId="4" r:id="rId5"/>
    <sheet name="50" sheetId="5" r:id="rId6"/>
    <sheet name="Sheet7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7" l="1"/>
  <c r="B10" i="7"/>
  <c r="C9" i="7"/>
  <c r="D9" i="7"/>
  <c r="E9" i="7"/>
  <c r="F9" i="7"/>
  <c r="G9" i="7"/>
  <c r="H9" i="7"/>
  <c r="I9" i="7"/>
  <c r="J9" i="7"/>
  <c r="K9" i="7"/>
  <c r="B9" i="7"/>
  <c r="C8" i="7"/>
  <c r="D8" i="7"/>
  <c r="E8" i="7"/>
  <c r="F8" i="7"/>
  <c r="G8" i="7"/>
  <c r="H8" i="7"/>
  <c r="I8" i="7"/>
  <c r="J8" i="7"/>
  <c r="K8" i="7"/>
  <c r="B8" i="7"/>
  <c r="J29" i="7"/>
  <c r="H29" i="7"/>
  <c r="H30" i="7" s="1"/>
  <c r="F29" i="7"/>
  <c r="E30" i="7" s="1"/>
  <c r="D29" i="7"/>
  <c r="C30" i="7" s="1"/>
  <c r="B29" i="7"/>
  <c r="B19" i="7"/>
  <c r="C42" i="7"/>
  <c r="B42" i="7"/>
  <c r="C41" i="7"/>
  <c r="D41" i="7"/>
  <c r="E41" i="7"/>
  <c r="F41" i="7"/>
  <c r="G41" i="7"/>
  <c r="H41" i="7"/>
  <c r="I41" i="7"/>
  <c r="J41" i="7"/>
  <c r="K41" i="7"/>
  <c r="B41" i="7"/>
  <c r="C40" i="7"/>
  <c r="D40" i="7"/>
  <c r="E40" i="7"/>
  <c r="F40" i="7"/>
  <c r="G40" i="7"/>
  <c r="H40" i="7"/>
  <c r="I40" i="7"/>
  <c r="J40" i="7"/>
  <c r="K40" i="7"/>
  <c r="B40" i="7"/>
  <c r="D30" i="7"/>
  <c r="G30" i="7"/>
  <c r="I30" i="7"/>
  <c r="J30" i="7"/>
  <c r="K30" i="7"/>
  <c r="B30" i="7"/>
  <c r="C29" i="7"/>
  <c r="E29" i="7"/>
  <c r="G29" i="7"/>
  <c r="I29" i="7"/>
  <c r="K29" i="7"/>
  <c r="C21" i="7"/>
  <c r="B21" i="7"/>
  <c r="D20" i="7"/>
  <c r="C20" i="7"/>
  <c r="E20" i="7"/>
  <c r="F20" i="7"/>
  <c r="G20" i="7"/>
  <c r="H20" i="7"/>
  <c r="I20" i="7"/>
  <c r="J20" i="7"/>
  <c r="K20" i="7"/>
  <c r="B20" i="7"/>
  <c r="C19" i="7"/>
  <c r="D19" i="7"/>
  <c r="E19" i="7"/>
  <c r="F19" i="7"/>
  <c r="G19" i="7"/>
  <c r="H19" i="7"/>
  <c r="I19" i="7"/>
  <c r="J19" i="7"/>
  <c r="K19" i="7"/>
  <c r="C18" i="7"/>
  <c r="D18" i="7"/>
  <c r="E18" i="7"/>
  <c r="F18" i="7"/>
  <c r="G18" i="7"/>
  <c r="H18" i="7"/>
  <c r="I18" i="7"/>
  <c r="J18" i="7"/>
  <c r="K18" i="7"/>
  <c r="B18" i="7"/>
  <c r="F30" i="7" l="1"/>
  <c r="B31" i="7"/>
  <c r="C31" i="7" s="1"/>
  <c r="B34" i="7"/>
  <c r="B36" i="7"/>
  <c r="C36" i="7"/>
  <c r="D36" i="7"/>
  <c r="E36" i="7"/>
  <c r="F36" i="7"/>
  <c r="G36" i="7"/>
  <c r="H36" i="7"/>
  <c r="I36" i="7"/>
  <c r="J36" i="7"/>
  <c r="K36" i="7"/>
  <c r="B37" i="7"/>
  <c r="C37" i="7"/>
  <c r="D37" i="7"/>
  <c r="E37" i="7"/>
  <c r="F37" i="7"/>
  <c r="G37" i="7"/>
  <c r="H37" i="7"/>
  <c r="I37" i="7"/>
  <c r="J37" i="7"/>
  <c r="K37" i="7"/>
  <c r="B38" i="7"/>
  <c r="C38" i="7"/>
  <c r="D38" i="7"/>
  <c r="E38" i="7"/>
  <c r="F38" i="7"/>
  <c r="G38" i="7"/>
  <c r="H38" i="7"/>
  <c r="I38" i="7"/>
  <c r="J38" i="7"/>
  <c r="K38" i="7"/>
  <c r="B39" i="7"/>
  <c r="C39" i="7"/>
  <c r="D39" i="7"/>
  <c r="E39" i="7"/>
  <c r="F39" i="7"/>
  <c r="G39" i="7"/>
  <c r="H39" i="7"/>
  <c r="I39" i="7"/>
  <c r="J39" i="7"/>
  <c r="K39" i="7"/>
  <c r="C34" i="7"/>
  <c r="D34" i="7"/>
  <c r="E34" i="7"/>
  <c r="F34" i="7"/>
  <c r="G34" i="7"/>
  <c r="H34" i="7"/>
  <c r="I34" i="7"/>
  <c r="J34" i="7"/>
  <c r="K34" i="7"/>
  <c r="C35" i="7"/>
  <c r="D35" i="7"/>
  <c r="E35" i="7"/>
  <c r="F35" i="7"/>
  <c r="G35" i="7"/>
  <c r="H35" i="7"/>
  <c r="I35" i="7"/>
  <c r="J35" i="7"/>
  <c r="K35" i="7"/>
  <c r="B35" i="7"/>
  <c r="I11" i="5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I2" i="5"/>
  <c r="H2" i="5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I2" i="4"/>
  <c r="H2" i="4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I2" i="3"/>
  <c r="H2" i="3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I2" i="2"/>
  <c r="H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sharedStrings.xml><?xml version="1.0" encoding="utf-8"?>
<sst xmlns="http://schemas.openxmlformats.org/spreadsheetml/2006/main" count="193" uniqueCount="50">
  <si>
    <t>BasketballDrill_832x480_50</t>
  </si>
  <si>
    <t>BasketballDrillText_832x480_50</t>
  </si>
  <si>
    <t>BasketballDrive_1920x1080_50</t>
  </si>
  <si>
    <t>BlowingBubbles_416x240_50</t>
  </si>
  <si>
    <t>BQMall_832x480_60</t>
  </si>
  <si>
    <t>BQSquare_416x240_60</t>
  </si>
  <si>
    <t>BQTerrace_1920x1080_60</t>
  </si>
  <si>
    <t>Cactus_1920x1080_50</t>
  </si>
  <si>
    <t>ChinaSpeed_1024x768_30</t>
  </si>
  <si>
    <t>FourPeople_1280x720_60</t>
  </si>
  <si>
    <t>Johnny_1280x720_60</t>
  </si>
  <si>
    <t>Kimono_1920x1080_24</t>
  </si>
  <si>
    <t>KristenAndSara_1280x720_60</t>
  </si>
  <si>
    <t>ParkScene_1920x1080_24</t>
  </si>
  <si>
    <t>PartyScene_832x480_50</t>
  </si>
  <si>
    <t>PeopleOnStreet_2560x1600_30</t>
  </si>
  <si>
    <t>SlideEditing_1280x720_30</t>
  </si>
  <si>
    <t>SlideShow_1280x720_20</t>
    <phoneticPr fontId="1" type="noConversion"/>
  </si>
  <si>
    <t>Traffic_2560x1600_30</t>
  </si>
  <si>
    <t>容量A</t>
    <phoneticPr fontId="1" type="noConversion"/>
  </si>
  <si>
    <t>B old</t>
    <phoneticPr fontId="1" type="noConversion"/>
  </si>
  <si>
    <t>bitrateA</t>
    <phoneticPr fontId="1" type="noConversion"/>
  </si>
  <si>
    <t>SSIMA</t>
    <phoneticPr fontId="1" type="noConversion"/>
  </si>
  <si>
    <t>比值A</t>
    <phoneticPr fontId="1" type="noConversion"/>
  </si>
  <si>
    <t>B</t>
    <phoneticPr fontId="1" type="noConversion"/>
  </si>
  <si>
    <t>Traffic_2560x1600_30</t>
    <phoneticPr fontId="1" type="noConversion"/>
  </si>
  <si>
    <t>ParkScene_1920x1080_24</t>
    <phoneticPr fontId="1" type="noConversion"/>
  </si>
  <si>
    <t>KristenAndSara_1280x720_60</t>
    <phoneticPr fontId="1" type="noConversion"/>
  </si>
  <si>
    <t>Traffic</t>
    <phoneticPr fontId="1" type="noConversion"/>
  </si>
  <si>
    <t>PeopleOnStreet_2560x1600_30</t>
    <phoneticPr fontId="1" type="noConversion"/>
  </si>
  <si>
    <t>PeopleOnStreet</t>
    <phoneticPr fontId="1" type="noConversion"/>
  </si>
  <si>
    <t>ParkScene</t>
    <phoneticPr fontId="1" type="noConversion"/>
  </si>
  <si>
    <t>BasketballDrive_1920x1080_50</t>
    <phoneticPr fontId="1" type="noConversion"/>
  </si>
  <si>
    <t>BasketballDrive</t>
    <phoneticPr fontId="1" type="noConversion"/>
  </si>
  <si>
    <t>Johnny_1280x720_60</t>
    <phoneticPr fontId="1" type="noConversion"/>
  </si>
  <si>
    <t>Johnny</t>
    <phoneticPr fontId="1" type="noConversion"/>
  </si>
  <si>
    <t>FourPeople_1280x720_60</t>
    <phoneticPr fontId="1" type="noConversion"/>
  </si>
  <si>
    <t>FourPeople</t>
    <phoneticPr fontId="1" type="noConversion"/>
  </si>
  <si>
    <t>multi-sized qp10</t>
    <phoneticPr fontId="1" type="noConversion"/>
  </si>
  <si>
    <t>single-sized qp10</t>
    <phoneticPr fontId="1" type="noConversion"/>
  </si>
  <si>
    <t>multi-sized qp20</t>
    <phoneticPr fontId="1" type="noConversion"/>
  </si>
  <si>
    <t>single-sized qp20</t>
    <phoneticPr fontId="1" type="noConversion"/>
  </si>
  <si>
    <t>multi-sized qp30</t>
    <phoneticPr fontId="1" type="noConversion"/>
  </si>
  <si>
    <t>single-sized qp30</t>
    <phoneticPr fontId="1" type="noConversion"/>
  </si>
  <si>
    <t>single-sized qp40</t>
    <phoneticPr fontId="1" type="noConversion"/>
  </si>
  <si>
    <t>single-sized qp50</t>
    <phoneticPr fontId="1" type="noConversion"/>
  </si>
  <si>
    <t>multi-sized qp40</t>
    <phoneticPr fontId="1" type="noConversion"/>
  </si>
  <si>
    <t>multi-sized qp50</t>
    <phoneticPr fontId="1" type="noConversion"/>
  </si>
  <si>
    <t>bask</t>
    <phoneticPr fontId="1" type="noConversion"/>
  </si>
  <si>
    <t>BQ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</si>
</sst>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SSIM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Sheet7!$A$2</c:f>
              <c:strCache>
                <c:ptCount val="1"/>
                <c:pt idx="0">
                  <c:v>Traffic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Sheet7!$B$1:$K$1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Sheet7!$B$2:$K$2</c:f>
              <c:numCache>
                <c:formatCode>General</c:formatCode>
                <c:ptCount val="10"/>
                <c:pt idx="0">
                  <c:v>0.99390000000000001</c:v>
                </c:pt>
                <c:pt idx="1">
                  <c:v>0.99387300000000001</c:v>
                </c:pt>
                <c:pt idx="2">
                  <c:v>0.98925300000000005</c:v>
                </c:pt>
                <c:pt idx="3">
                  <c:v>0.98875299999999999</c:v>
                </c:pt>
                <c:pt idx="4">
                  <c:v>0.98279300000000003</c:v>
                </c:pt>
                <c:pt idx="5">
                  <c:v>0.97984700000000002</c:v>
                </c:pt>
                <c:pt idx="6">
                  <c:v>0.95773299999999995</c:v>
                </c:pt>
                <c:pt idx="7">
                  <c:v>0.94330700000000001</c:v>
                </c:pt>
                <c:pt idx="8">
                  <c:v>0.93160699999999996</c:v>
                </c:pt>
                <c:pt idx="9">
                  <c:v>0.89664699999999997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58-4F26-AE6D-D436B699FBDC}"/>
            </c:ext>
          </c:extLst>
        </c:ser>
        <c:ser>
          <c:idx val="1"/>
          <c:order val="1"/>
          <c:tx>
            <c:strRef>
              <c:f>Sheet7!$A$3</c:f>
              <c:strCache>
                <c:ptCount val="1"/>
                <c:pt idx="0">
                  <c:v>PeopleOnStreet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Sheet7!$B$1:$K$1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Sheet7!$B$3:$K$3</c:f>
              <c:numCache>
                <c:formatCode>General</c:formatCode>
                <c:ptCount val="10"/>
                <c:pt idx="0">
                  <c:v>0.99550000000000005</c:v>
                </c:pt>
                <c:pt idx="1">
                  <c:v>0.99539999999999995</c:v>
                </c:pt>
                <c:pt idx="2">
                  <c:v>0.98540700000000003</c:v>
                </c:pt>
                <c:pt idx="3">
                  <c:v>0.98532699999999995</c:v>
                </c:pt>
                <c:pt idx="4">
                  <c:v>0.97167300000000001</c:v>
                </c:pt>
                <c:pt idx="5">
                  <c:v>0.97006700000000001</c:v>
                </c:pt>
                <c:pt idx="6">
                  <c:v>0.93187299999999995</c:v>
                </c:pt>
                <c:pt idx="7">
                  <c:v>0.92884</c:v>
                </c:pt>
                <c:pt idx="8">
                  <c:v>0.85054700000000005</c:v>
                </c:pt>
                <c:pt idx="9">
                  <c:v>0.84405300000000005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258-4F26-AE6D-D436B699FBDC}"/>
            </c:ext>
          </c:extLst>
        </c:ser>
        <c:ser>
          <c:idx val="2"/>
          <c:order val="2"/>
          <c:tx>
            <c:strRef>
              <c:f>Sheet7!$A$4</c:f>
              <c:strCache>
                <c:ptCount val="1"/>
                <c:pt idx="0">
                  <c:v>ParkScene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Sheet7!$B$1:$K$1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Sheet7!$B$4:$K$4</c:f>
              <c:numCache>
                <c:formatCode>General</c:formatCode>
                <c:ptCount val="10"/>
                <c:pt idx="0">
                  <c:v>0.99364600000000003</c:v>
                </c:pt>
                <c:pt idx="1">
                  <c:v>0.99368299999999998</c:v>
                </c:pt>
                <c:pt idx="2">
                  <c:v>0.98108300000000004</c:v>
                </c:pt>
                <c:pt idx="3">
                  <c:v>0.98065400000000003</c:v>
                </c:pt>
                <c:pt idx="4">
                  <c:v>0.97400399999999998</c:v>
                </c:pt>
                <c:pt idx="5">
                  <c:v>0.97070000000000001</c:v>
                </c:pt>
                <c:pt idx="6">
                  <c:v>0.94814200000000004</c:v>
                </c:pt>
                <c:pt idx="7">
                  <c:v>0.93036700000000006</c:v>
                </c:pt>
                <c:pt idx="8">
                  <c:v>0.93345800000000001</c:v>
                </c:pt>
                <c:pt idx="9">
                  <c:v>0.89888699999999999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258-4F26-AE6D-D436B699FBDC}"/>
            </c:ext>
          </c:extLst>
        </c:ser>
        <c:ser>
          <c:idx val="3"/>
          <c:order val="3"/>
          <c:tx>
            <c:strRef>
              <c:f>Sheet7!$A$5</c:f>
              <c:strCache>
                <c:ptCount val="1"/>
                <c:pt idx="0">
                  <c:v>BasketballDrive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Sheet7!$B$1:$K$1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Sheet7!$B$5:$K$5</c:f>
              <c:numCache>
                <c:formatCode>General</c:formatCode>
                <c:ptCount val="10"/>
                <c:pt idx="0">
                  <c:v>0.99391600000000002</c:v>
                </c:pt>
                <c:pt idx="1">
                  <c:v>0.99390400000000001</c:v>
                </c:pt>
                <c:pt idx="2">
                  <c:v>0.96777500000000005</c:v>
                </c:pt>
                <c:pt idx="3">
                  <c:v>0.96771700000000005</c:v>
                </c:pt>
                <c:pt idx="4">
                  <c:v>0.973715</c:v>
                </c:pt>
                <c:pt idx="5">
                  <c:v>0.97226699999999999</c:v>
                </c:pt>
                <c:pt idx="6">
                  <c:v>0.94315700000000002</c:v>
                </c:pt>
                <c:pt idx="7">
                  <c:v>0.93943200000000004</c:v>
                </c:pt>
                <c:pt idx="8">
                  <c:v>0.90726899999999999</c:v>
                </c:pt>
                <c:pt idx="9">
                  <c:v>0.89093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258-4F26-AE6D-D436B699FBDC}"/>
            </c:ext>
          </c:extLst>
        </c:ser>
        <c:ser>
          <c:idx val="4"/>
          <c:order val="4"/>
          <c:tx>
            <c:strRef>
              <c:f>Sheet7!$A$6</c:f>
              <c:strCache>
                <c:ptCount val="1"/>
                <c:pt idx="0">
                  <c:v>Johnny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Sheet7!$B$1:$K$1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Sheet7!$B$6:$K$6</c:f>
              <c:numCache>
                <c:formatCode>General</c:formatCode>
                <c:ptCount val="10"/>
                <c:pt idx="0">
                  <c:v>0.99146400000000001</c:v>
                </c:pt>
                <c:pt idx="1">
                  <c:v>0.99130300000000005</c:v>
                </c:pt>
                <c:pt idx="2">
                  <c:v>0.98877999999999999</c:v>
                </c:pt>
                <c:pt idx="3">
                  <c:v>0.98984499999999997</c:v>
                </c:pt>
                <c:pt idx="4">
                  <c:v>0.99016599999999999</c:v>
                </c:pt>
                <c:pt idx="5">
                  <c:v>0.96238299999999999</c:v>
                </c:pt>
                <c:pt idx="6">
                  <c:v>0.97843800000000003</c:v>
                </c:pt>
                <c:pt idx="7">
                  <c:v>0.97466299999999995</c:v>
                </c:pt>
                <c:pt idx="8">
                  <c:v>0.94466600000000001</c:v>
                </c:pt>
                <c:pt idx="9">
                  <c:v>0.94489100000000004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258-4F26-AE6D-D436B699FBDC}"/>
            </c:ext>
          </c:extLst>
        </c:ser>
        <c:ser>
          <c:idx val="5"/>
          <c:order val="5"/>
          <c:tx>
            <c:strRef>
              <c:f>Sheet7!$A$7</c:f>
              <c:strCache>
                <c:ptCount val="1"/>
                <c:pt idx="0">
                  <c:v>FourPeople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Sheet7!$B$1:$K$1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Sheet7!$B$7:$K$7</c:f>
              <c:numCache>
                <c:formatCode>General</c:formatCode>
                <c:ptCount val="10"/>
                <c:pt idx="0">
                  <c:v>0.99294199999999999</c:v>
                </c:pt>
                <c:pt idx="1">
                  <c:v>0.99292199999999997</c:v>
                </c:pt>
                <c:pt idx="2">
                  <c:v>0.98971200000000004</c:v>
                </c:pt>
                <c:pt idx="3">
                  <c:v>0.98925600000000002</c:v>
                </c:pt>
                <c:pt idx="4">
                  <c:v>0.98835099999999998</c:v>
                </c:pt>
                <c:pt idx="5">
                  <c:v>0.98702000000000001</c:v>
                </c:pt>
                <c:pt idx="6">
                  <c:v>0.97843800000000003</c:v>
                </c:pt>
                <c:pt idx="7">
                  <c:v>0.97466299999999995</c:v>
                </c:pt>
                <c:pt idx="8">
                  <c:v>0.90489799999999998</c:v>
                </c:pt>
                <c:pt idx="9">
                  <c:v>0.89610500000000004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258-4F26-AE6D-D436B699F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660256"/>
        <c:axId val="428662608"/>
      </c:barChart>
      <c:catAx>
        <c:axId val="42866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8662608"/>
        <c:crosses val="autoZero"/>
        <c:auto val="1"/>
        <c:lblAlgn val="ctr"/>
        <c:lblOffset val="100"/>
        <c:noMultiLvlLbl val="0"/>
      </c:catAx>
      <c:valAx>
        <c:axId val="4286626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86602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Capacity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Sheet7!$A$12</c:f>
              <c:strCache>
                <c:ptCount val="1"/>
                <c:pt idx="0">
                  <c:v>Traffic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Sheet7!$B$11:$K$11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Sheet7!$B$12:$K$12</c:f>
              <c:numCache>
                <c:formatCode>General</c:formatCode>
                <c:ptCount val="10"/>
                <c:pt idx="0">
                  <c:v>975138</c:v>
                </c:pt>
                <c:pt idx="1">
                  <c:v>839925</c:v>
                </c:pt>
                <c:pt idx="2">
                  <c:v>557316</c:v>
                </c:pt>
                <c:pt idx="3">
                  <c:v>439749</c:v>
                </c:pt>
                <c:pt idx="4">
                  <c:v>329568</c:v>
                </c:pt>
                <c:pt idx="5">
                  <c:v>219407</c:v>
                </c:pt>
                <c:pt idx="6">
                  <c:v>155037</c:v>
                </c:pt>
                <c:pt idx="7">
                  <c:v>60418</c:v>
                </c:pt>
                <c:pt idx="8">
                  <c:v>40681</c:v>
                </c:pt>
                <c:pt idx="9">
                  <c:v>718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FBC-48DB-B132-24267164F462}"/>
            </c:ext>
          </c:extLst>
        </c:ser>
        <c:ser>
          <c:idx val="1"/>
          <c:order val="1"/>
          <c:tx>
            <c:strRef>
              <c:f>Sheet7!$A$13</c:f>
              <c:strCache>
                <c:ptCount val="1"/>
                <c:pt idx="0">
                  <c:v>PeopleOnStreet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Sheet7!$B$11:$K$11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Sheet7!$B$13:$K$13</c:f>
              <c:numCache>
                <c:formatCode>General</c:formatCode>
                <c:ptCount val="10"/>
                <c:pt idx="0">
                  <c:v>809190</c:v>
                </c:pt>
                <c:pt idx="1">
                  <c:v>676915</c:v>
                </c:pt>
                <c:pt idx="2">
                  <c:v>499548</c:v>
                </c:pt>
                <c:pt idx="3">
                  <c:v>396140</c:v>
                </c:pt>
                <c:pt idx="4">
                  <c:v>377428</c:v>
                </c:pt>
                <c:pt idx="5">
                  <c:v>259114</c:v>
                </c:pt>
                <c:pt idx="6">
                  <c:v>254517</c:v>
                </c:pt>
                <c:pt idx="7">
                  <c:v>122208</c:v>
                </c:pt>
                <c:pt idx="8">
                  <c:v>89310</c:v>
                </c:pt>
                <c:pt idx="9">
                  <c:v>6646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FBC-48DB-B132-24267164F462}"/>
            </c:ext>
          </c:extLst>
        </c:ser>
        <c:ser>
          <c:idx val="2"/>
          <c:order val="2"/>
          <c:tx>
            <c:strRef>
              <c:f>Sheet7!$A$14</c:f>
              <c:strCache>
                <c:ptCount val="1"/>
                <c:pt idx="0">
                  <c:v>ParkScene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Sheet7!$B$11:$K$11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Sheet7!$B$14:$K$14</c:f>
              <c:numCache>
                <c:formatCode>General</c:formatCode>
                <c:ptCount val="10"/>
                <c:pt idx="0">
                  <c:v>742010</c:v>
                </c:pt>
                <c:pt idx="1">
                  <c:v>652061</c:v>
                </c:pt>
                <c:pt idx="2">
                  <c:v>419565</c:v>
                </c:pt>
                <c:pt idx="3">
                  <c:v>358280</c:v>
                </c:pt>
                <c:pt idx="4">
                  <c:v>240369</c:v>
                </c:pt>
                <c:pt idx="5">
                  <c:v>171898</c:v>
                </c:pt>
                <c:pt idx="6">
                  <c:v>81581</c:v>
                </c:pt>
                <c:pt idx="7">
                  <c:v>31006</c:v>
                </c:pt>
                <c:pt idx="8">
                  <c:v>22990</c:v>
                </c:pt>
                <c:pt idx="9">
                  <c:v>961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FBC-48DB-B132-24267164F462}"/>
            </c:ext>
          </c:extLst>
        </c:ser>
        <c:ser>
          <c:idx val="3"/>
          <c:order val="3"/>
          <c:tx>
            <c:strRef>
              <c:f>Sheet7!$A$15</c:f>
              <c:strCache>
                <c:ptCount val="1"/>
                <c:pt idx="0">
                  <c:v>BasketballDrive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Sheet7!$B$11:$K$11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Sheet7!$B$15:$K$15</c:f>
              <c:numCache>
                <c:formatCode>General</c:formatCode>
                <c:ptCount val="10"/>
                <c:pt idx="0">
                  <c:v>690645</c:v>
                </c:pt>
                <c:pt idx="1">
                  <c:v>278658</c:v>
                </c:pt>
                <c:pt idx="2">
                  <c:v>522367</c:v>
                </c:pt>
                <c:pt idx="3">
                  <c:v>145110</c:v>
                </c:pt>
                <c:pt idx="4">
                  <c:v>445689</c:v>
                </c:pt>
                <c:pt idx="5">
                  <c:v>287885</c:v>
                </c:pt>
                <c:pt idx="6">
                  <c:v>215051</c:v>
                </c:pt>
                <c:pt idx="7">
                  <c:v>73222</c:v>
                </c:pt>
                <c:pt idx="8">
                  <c:v>81961</c:v>
                </c:pt>
                <c:pt idx="9">
                  <c:v>5035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FBC-48DB-B132-24267164F462}"/>
            </c:ext>
          </c:extLst>
        </c:ser>
        <c:ser>
          <c:idx val="4"/>
          <c:order val="4"/>
          <c:tx>
            <c:strRef>
              <c:f>Sheet7!$A$16</c:f>
              <c:strCache>
                <c:ptCount val="1"/>
                <c:pt idx="0">
                  <c:v>Johnny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Sheet7!$B$11:$K$11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Sheet7!$B$16:$K$16</c:f>
              <c:numCache>
                <c:formatCode>General</c:formatCode>
                <c:ptCount val="10"/>
                <c:pt idx="0">
                  <c:v>682386</c:v>
                </c:pt>
                <c:pt idx="1">
                  <c:v>576710</c:v>
                </c:pt>
                <c:pt idx="2">
                  <c:v>251338</c:v>
                </c:pt>
                <c:pt idx="3">
                  <c:v>197728</c:v>
                </c:pt>
                <c:pt idx="4">
                  <c:v>185027</c:v>
                </c:pt>
                <c:pt idx="5">
                  <c:v>119581</c:v>
                </c:pt>
                <c:pt idx="6">
                  <c:v>105433</c:v>
                </c:pt>
                <c:pt idx="7">
                  <c:v>44005</c:v>
                </c:pt>
                <c:pt idx="8">
                  <c:v>43872</c:v>
                </c:pt>
                <c:pt idx="9">
                  <c:v>2298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AFBC-48DB-B132-24267164F462}"/>
            </c:ext>
          </c:extLst>
        </c:ser>
        <c:ser>
          <c:idx val="5"/>
          <c:order val="5"/>
          <c:tx>
            <c:strRef>
              <c:f>Sheet7!$A$17</c:f>
              <c:strCache>
                <c:ptCount val="1"/>
                <c:pt idx="0">
                  <c:v>FourPeople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Sheet7!$B$11:$K$11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Sheet7!$B$17:$K$17</c:f>
              <c:numCache>
                <c:formatCode>General</c:formatCode>
                <c:ptCount val="10"/>
                <c:pt idx="0">
                  <c:v>804557</c:v>
                </c:pt>
                <c:pt idx="1">
                  <c:v>686454</c:v>
                </c:pt>
                <c:pt idx="2">
                  <c:v>459767</c:v>
                </c:pt>
                <c:pt idx="3">
                  <c:v>371155</c:v>
                </c:pt>
                <c:pt idx="4">
                  <c:v>328896</c:v>
                </c:pt>
                <c:pt idx="5">
                  <c:v>229741</c:v>
                </c:pt>
                <c:pt idx="6">
                  <c:v>173580</c:v>
                </c:pt>
                <c:pt idx="7">
                  <c:v>79865</c:v>
                </c:pt>
                <c:pt idx="8">
                  <c:v>44538</c:v>
                </c:pt>
                <c:pt idx="9">
                  <c:v>2371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AFBC-48DB-B132-24267164F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665352"/>
        <c:axId val="428665744"/>
      </c:barChart>
      <c:catAx>
        <c:axId val="428665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8665744"/>
        <c:crosses val="autoZero"/>
        <c:auto val="1"/>
        <c:lblAlgn val="ctr"/>
        <c:lblOffset val="100"/>
        <c:noMultiLvlLbl val="0"/>
      </c:catAx>
      <c:valAx>
        <c:axId val="428665744"/>
        <c:scaling>
          <c:logBase val="2"/>
          <c:orientation val="minMax"/>
          <c:max val="1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8665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Bit  Increase Ratio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Sheet7!$A$23</c:f>
              <c:strCache>
                <c:ptCount val="1"/>
                <c:pt idx="0">
                  <c:v>Traffic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Sheet7!$B$22:$K$22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Sheet7!$B$23:$K$23</c:f>
              <c:numCache>
                <c:formatCode>General</c:formatCode>
                <c:ptCount val="10"/>
                <c:pt idx="0">
                  <c:v>3.1449999999999998E-3</c:v>
                </c:pt>
                <c:pt idx="1">
                  <c:v>2.7989999999999998E-3</c:v>
                </c:pt>
                <c:pt idx="2">
                  <c:v>1.2737999999999999E-2</c:v>
                </c:pt>
                <c:pt idx="3">
                  <c:v>9.6380000000000007E-3</c:v>
                </c:pt>
                <c:pt idx="4">
                  <c:v>3.2974999999999997E-2</c:v>
                </c:pt>
                <c:pt idx="5">
                  <c:v>2.2305999999999999E-2</c:v>
                </c:pt>
                <c:pt idx="6">
                  <c:v>5.1982E-2</c:v>
                </c:pt>
                <c:pt idx="7">
                  <c:v>2.401E-2</c:v>
                </c:pt>
                <c:pt idx="8">
                  <c:v>5.9207000000000003E-2</c:v>
                </c:pt>
                <c:pt idx="9">
                  <c:v>2.5699999999999998E-3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C13-437F-BF45-8E9171380B4F}"/>
            </c:ext>
          </c:extLst>
        </c:ser>
        <c:ser>
          <c:idx val="1"/>
          <c:order val="1"/>
          <c:tx>
            <c:strRef>
              <c:f>Sheet7!$A$24</c:f>
              <c:strCache>
                <c:ptCount val="1"/>
                <c:pt idx="0">
                  <c:v>PeopleOnStreet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Sheet7!$B$22:$K$22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Sheet7!$B$24:$K$24</c:f>
              <c:numCache>
                <c:formatCode>General</c:formatCode>
                <c:ptCount val="10"/>
                <c:pt idx="0">
                  <c:v>2.366E-3</c:v>
                </c:pt>
                <c:pt idx="1">
                  <c:v>1.8270000000000001E-3</c:v>
                </c:pt>
                <c:pt idx="2">
                  <c:v>5.7080000000000004E-3</c:v>
                </c:pt>
                <c:pt idx="3">
                  <c:v>4.372E-3</c:v>
                </c:pt>
                <c:pt idx="4">
                  <c:v>1.4031999999999999E-2</c:v>
                </c:pt>
                <c:pt idx="5">
                  <c:v>1.0368E-2</c:v>
                </c:pt>
                <c:pt idx="6">
                  <c:v>2.9187999999999999E-2</c:v>
                </c:pt>
                <c:pt idx="7">
                  <c:v>1.5664000000000001E-2</c:v>
                </c:pt>
                <c:pt idx="8">
                  <c:v>4.2115E-2</c:v>
                </c:pt>
                <c:pt idx="9">
                  <c:v>4.1999999999999997E-3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C13-437F-BF45-8E9171380B4F}"/>
            </c:ext>
          </c:extLst>
        </c:ser>
        <c:ser>
          <c:idx val="2"/>
          <c:order val="2"/>
          <c:tx>
            <c:strRef>
              <c:f>Sheet7!$A$25</c:f>
              <c:strCache>
                <c:ptCount val="1"/>
                <c:pt idx="0">
                  <c:v>ParkScene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Sheet7!$B$22:$K$22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Sheet7!$B$25:$K$25</c:f>
              <c:numCache>
                <c:formatCode>General</c:formatCode>
                <c:ptCount val="10"/>
                <c:pt idx="0">
                  <c:v>1.658E-3</c:v>
                </c:pt>
                <c:pt idx="1">
                  <c:v>1.124E-3</c:v>
                </c:pt>
                <c:pt idx="2">
                  <c:v>8.0239999999999999E-3</c:v>
                </c:pt>
                <c:pt idx="3">
                  <c:v>7.5940000000000001E-3</c:v>
                </c:pt>
                <c:pt idx="4">
                  <c:v>2.2773000000000002E-2</c:v>
                </c:pt>
                <c:pt idx="5">
                  <c:v>1.7499000000000001E-2</c:v>
                </c:pt>
                <c:pt idx="6">
                  <c:v>3.4009999999999999E-2</c:v>
                </c:pt>
                <c:pt idx="7">
                  <c:v>1.6796999999999999E-2</c:v>
                </c:pt>
                <c:pt idx="8">
                  <c:v>5.1587000000000001E-2</c:v>
                </c:pt>
                <c:pt idx="9">
                  <c:v>3.271E-3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C13-437F-BF45-8E9171380B4F}"/>
            </c:ext>
          </c:extLst>
        </c:ser>
        <c:ser>
          <c:idx val="3"/>
          <c:order val="3"/>
          <c:tx>
            <c:strRef>
              <c:f>Sheet7!$A$26</c:f>
              <c:strCache>
                <c:ptCount val="1"/>
                <c:pt idx="0">
                  <c:v>BasketballDrive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Sheet7!$B$22:$K$22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Sheet7!$B$26:$K$26</c:f>
              <c:numCache>
                <c:formatCode>General</c:formatCode>
                <c:ptCount val="10"/>
                <c:pt idx="0">
                  <c:v>2.4060000000000002E-3</c:v>
                </c:pt>
                <c:pt idx="1">
                  <c:v>7.1400000000000001E-4</c:v>
                </c:pt>
                <c:pt idx="2">
                  <c:v>7.4139999999999996E-3</c:v>
                </c:pt>
                <c:pt idx="3">
                  <c:v>2.0230000000000001E-3</c:v>
                </c:pt>
                <c:pt idx="4">
                  <c:v>4.5221999999999998E-2</c:v>
                </c:pt>
                <c:pt idx="5">
                  <c:v>2.1295000000000001E-2</c:v>
                </c:pt>
                <c:pt idx="6">
                  <c:v>7.0249000000000006E-2</c:v>
                </c:pt>
                <c:pt idx="7">
                  <c:v>2.4299000000000001E-2</c:v>
                </c:pt>
                <c:pt idx="8">
                  <c:v>9.0149000000000007E-2</c:v>
                </c:pt>
                <c:pt idx="9">
                  <c:v>9.665E-3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C13-437F-BF45-8E9171380B4F}"/>
            </c:ext>
          </c:extLst>
        </c:ser>
        <c:ser>
          <c:idx val="4"/>
          <c:order val="4"/>
          <c:tx>
            <c:strRef>
              <c:f>Sheet7!$A$27</c:f>
              <c:strCache>
                <c:ptCount val="1"/>
                <c:pt idx="0">
                  <c:v>Johnny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Sheet7!$B$22:$K$22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Sheet7!$B$27:$K$27</c:f>
              <c:numCache>
                <c:formatCode>General</c:formatCode>
                <c:ptCount val="10"/>
                <c:pt idx="0">
                  <c:v>5.1320000000000003E-3</c:v>
                </c:pt>
                <c:pt idx="1">
                  <c:v>3.3909999999999999E-3</c:v>
                </c:pt>
                <c:pt idx="2">
                  <c:v>1.5103E-2</c:v>
                </c:pt>
                <c:pt idx="3">
                  <c:v>1.1847E-2</c:v>
                </c:pt>
                <c:pt idx="4">
                  <c:v>5.7965999999999997E-2</c:v>
                </c:pt>
                <c:pt idx="5">
                  <c:v>3.737E-2</c:v>
                </c:pt>
                <c:pt idx="6">
                  <c:v>9.1135999999999995E-2</c:v>
                </c:pt>
                <c:pt idx="7">
                  <c:v>3.9549000000000001E-2</c:v>
                </c:pt>
                <c:pt idx="8">
                  <c:v>0.104722</c:v>
                </c:pt>
                <c:pt idx="9">
                  <c:v>7.5490000000000002E-3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C13-437F-BF45-8E9171380B4F}"/>
            </c:ext>
          </c:extLst>
        </c:ser>
        <c:ser>
          <c:idx val="5"/>
          <c:order val="5"/>
          <c:tx>
            <c:strRef>
              <c:f>Sheet7!$A$28</c:f>
              <c:strCache>
                <c:ptCount val="1"/>
                <c:pt idx="0">
                  <c:v>FourPeople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Sheet7!$B$22:$K$22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Sheet7!$B$28:$K$28</c:f>
              <c:numCache>
                <c:formatCode>General</c:formatCode>
                <c:ptCount val="10"/>
                <c:pt idx="0">
                  <c:v>4.4539999999999996E-3</c:v>
                </c:pt>
                <c:pt idx="1">
                  <c:v>3.6900000000000001E-3</c:v>
                </c:pt>
                <c:pt idx="2">
                  <c:v>2.2682000000000001E-2</c:v>
                </c:pt>
                <c:pt idx="3">
                  <c:v>1.7623E-2</c:v>
                </c:pt>
                <c:pt idx="4">
                  <c:v>5.4487000000000001E-2</c:v>
                </c:pt>
                <c:pt idx="5">
                  <c:v>3.8239000000000002E-2</c:v>
                </c:pt>
                <c:pt idx="6">
                  <c:v>7.5897000000000006E-2</c:v>
                </c:pt>
                <c:pt idx="7">
                  <c:v>3.9564000000000002E-2</c:v>
                </c:pt>
                <c:pt idx="8">
                  <c:v>6.5490999999999994E-2</c:v>
                </c:pt>
                <c:pt idx="9">
                  <c:v>3.5560000000000001E-3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C13-437F-BF45-8E9171380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666528"/>
        <c:axId val="428660648"/>
      </c:barChart>
      <c:catAx>
        <c:axId val="42866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8660648"/>
        <c:crosses val="autoZero"/>
        <c:auto val="1"/>
        <c:lblAlgn val="ctr"/>
        <c:lblOffset val="100"/>
        <c:noMultiLvlLbl val="0"/>
      </c:catAx>
      <c:valAx>
        <c:axId val="428660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866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NBR(%/Kbits)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Sheet7!$A$34</c:f>
              <c:strCache>
                <c:ptCount val="1"/>
                <c:pt idx="0">
                  <c:v>Traffic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Sheet7!$B$33:$K$33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Sheet7!$B$34:$K$34</c:f>
              <c:numCache>
                <c:formatCode>General</c:formatCode>
                <c:ptCount val="10"/>
                <c:pt idx="0">
                  <c:v>3.2251845379833419E-4</c:v>
                </c:pt>
                <c:pt idx="1">
                  <c:v>3.3324403964639696E-4</c:v>
                </c:pt>
                <c:pt idx="2">
                  <c:v>2.2855973989621687E-3</c:v>
                </c:pt>
                <c:pt idx="3">
                  <c:v>2.1917048134276603E-3</c:v>
                </c:pt>
                <c:pt idx="4">
                  <c:v>1.000552238081367E-2</c:v>
                </c:pt>
                <c:pt idx="5">
                  <c:v>1.0166494232180377E-2</c:v>
                </c:pt>
                <c:pt idx="6">
                  <c:v>3.352877055154576E-2</c:v>
                </c:pt>
                <c:pt idx="7">
                  <c:v>3.973981263861763E-2</c:v>
                </c:pt>
                <c:pt idx="8">
                  <c:v>0.1455396868316905</c:v>
                </c:pt>
                <c:pt idx="9">
                  <c:v>0.35793871866295263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D11-4A22-98A0-50DB3D00CD0E}"/>
            </c:ext>
          </c:extLst>
        </c:ser>
        <c:ser>
          <c:idx val="1"/>
          <c:order val="1"/>
          <c:tx>
            <c:strRef>
              <c:f>Sheet7!$A$35</c:f>
              <c:strCache>
                <c:ptCount val="1"/>
                <c:pt idx="0">
                  <c:v>PeopleOnStreet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Sheet7!$B$33:$K$33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Sheet7!$B$35:$K$35</c:f>
              <c:numCache>
                <c:formatCode>General</c:formatCode>
                <c:ptCount val="10"/>
                <c:pt idx="0">
                  <c:v>2.9239115658868746E-4</c:v>
                </c:pt>
                <c:pt idx="1">
                  <c:v>2.6990094768176211E-4</c:v>
                </c:pt>
                <c:pt idx="2">
                  <c:v>1.142632940177921E-3</c:v>
                </c:pt>
                <c:pt idx="3">
                  <c:v>1.1036502246680466E-3</c:v>
                </c:pt>
                <c:pt idx="4">
                  <c:v>3.7177951821274523E-3</c:v>
                </c:pt>
                <c:pt idx="5">
                  <c:v>4.0013276009787197E-3</c:v>
                </c:pt>
                <c:pt idx="6">
                  <c:v>1.1467996243865831E-2</c:v>
                </c:pt>
                <c:pt idx="7">
                  <c:v>1.2817491489918828E-2</c:v>
                </c:pt>
                <c:pt idx="8">
                  <c:v>4.7155973575187547E-2</c:v>
                </c:pt>
                <c:pt idx="9">
                  <c:v>6.3195907312669275E-2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D11-4A22-98A0-50DB3D00CD0E}"/>
            </c:ext>
          </c:extLst>
        </c:ser>
        <c:ser>
          <c:idx val="2"/>
          <c:order val="2"/>
          <c:tx>
            <c:strRef>
              <c:f>Sheet7!$A$36</c:f>
              <c:strCache>
                <c:ptCount val="1"/>
                <c:pt idx="0">
                  <c:v>ParkScene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Sheet7!$B$33:$K$33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Sheet7!$B$36:$K$36</c:f>
              <c:numCache>
                <c:formatCode>General</c:formatCode>
                <c:ptCount val="10"/>
                <c:pt idx="0">
                  <c:v>2.2344712335413267E-4</c:v>
                </c:pt>
                <c:pt idx="1">
                  <c:v>1.7237651078656752E-4</c:v>
                </c:pt>
                <c:pt idx="2">
                  <c:v>1.9124569494595592E-3</c:v>
                </c:pt>
                <c:pt idx="3">
                  <c:v>2.1195712850284694E-3</c:v>
                </c:pt>
                <c:pt idx="4">
                  <c:v>9.4741834429564551E-3</c:v>
                </c:pt>
                <c:pt idx="5">
                  <c:v>1.0179874111391639E-2</c:v>
                </c:pt>
                <c:pt idx="6">
                  <c:v>4.168862847967051E-2</c:v>
                </c:pt>
                <c:pt idx="7">
                  <c:v>5.4173385796297484E-2</c:v>
                </c:pt>
                <c:pt idx="8">
                  <c:v>0.22438886472379296</c:v>
                </c:pt>
                <c:pt idx="9">
                  <c:v>0.3403746097814776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D11-4A22-98A0-50DB3D00CD0E}"/>
            </c:ext>
          </c:extLst>
        </c:ser>
        <c:ser>
          <c:idx val="3"/>
          <c:order val="3"/>
          <c:tx>
            <c:strRef>
              <c:f>Sheet7!$A$37</c:f>
              <c:strCache>
                <c:ptCount val="1"/>
                <c:pt idx="0">
                  <c:v>BasketballDrive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Sheet7!$B$33:$K$33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Sheet7!$B$37:$K$37</c:f>
              <c:numCache>
                <c:formatCode>General</c:formatCode>
                <c:ptCount val="10"/>
                <c:pt idx="0">
                  <c:v>3.4837000195469452E-4</c:v>
                </c:pt>
                <c:pt idx="1">
                  <c:v>2.5622806450918331E-4</c:v>
                </c:pt>
                <c:pt idx="2">
                  <c:v>1.4193086469857399E-3</c:v>
                </c:pt>
                <c:pt idx="3">
                  <c:v>1.3941148094548965E-3</c:v>
                </c:pt>
                <c:pt idx="4">
                  <c:v>1.0146537159319615E-2</c:v>
                </c:pt>
                <c:pt idx="5">
                  <c:v>7.3970509057436143E-3</c:v>
                </c:pt>
                <c:pt idx="6">
                  <c:v>3.2666204760731177E-2</c:v>
                </c:pt>
                <c:pt idx="7">
                  <c:v>3.3185381442735785E-2</c:v>
                </c:pt>
                <c:pt idx="8">
                  <c:v>0.10999011725088763</c:v>
                </c:pt>
                <c:pt idx="9">
                  <c:v>0.1919563058589871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D11-4A22-98A0-50DB3D00CD0E}"/>
            </c:ext>
          </c:extLst>
        </c:ser>
        <c:ser>
          <c:idx val="4"/>
          <c:order val="4"/>
          <c:tx>
            <c:strRef>
              <c:f>Sheet7!$A$38</c:f>
              <c:strCache>
                <c:ptCount val="1"/>
                <c:pt idx="0">
                  <c:v>Johnny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Sheet7!$B$33:$K$33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Sheet7!$B$38:$K$38</c:f>
              <c:numCache>
                <c:formatCode>General</c:formatCode>
                <c:ptCount val="10"/>
                <c:pt idx="0">
                  <c:v>7.5206701192580164E-4</c:v>
                </c:pt>
                <c:pt idx="1">
                  <c:v>5.879904978238629E-4</c:v>
                </c:pt>
                <c:pt idx="2">
                  <c:v>6.0090396199540064E-3</c:v>
                </c:pt>
                <c:pt idx="3">
                  <c:v>5.9915641689593782E-3</c:v>
                </c:pt>
                <c:pt idx="4">
                  <c:v>3.1328400719894935E-2</c:v>
                </c:pt>
                <c:pt idx="5">
                  <c:v>3.1250783987422752E-2</c:v>
                </c:pt>
                <c:pt idx="6">
                  <c:v>8.6439729496457465E-2</c:v>
                </c:pt>
                <c:pt idx="7">
                  <c:v>8.9873877968412688E-2</c:v>
                </c:pt>
                <c:pt idx="8">
                  <c:v>0.23869894237782641</c:v>
                </c:pt>
                <c:pt idx="9">
                  <c:v>0.32850304612706704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D11-4A22-98A0-50DB3D00CD0E}"/>
            </c:ext>
          </c:extLst>
        </c:ser>
        <c:ser>
          <c:idx val="5"/>
          <c:order val="5"/>
          <c:tx>
            <c:strRef>
              <c:f>Sheet7!$A$39</c:f>
              <c:strCache>
                <c:ptCount val="1"/>
                <c:pt idx="0">
                  <c:v>FourPeople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Sheet7!$B$33:$K$33</c:f>
              <c:strCache>
                <c:ptCount val="10"/>
                <c:pt idx="0">
                  <c:v>multi-sized qp10</c:v>
                </c:pt>
                <c:pt idx="1">
                  <c:v>single-sized qp10</c:v>
                </c:pt>
                <c:pt idx="2">
                  <c:v>multi-sized qp20</c:v>
                </c:pt>
                <c:pt idx="3">
                  <c:v>single-sized qp20</c:v>
                </c:pt>
                <c:pt idx="4">
                  <c:v>multi-sized qp30</c:v>
                </c:pt>
                <c:pt idx="5">
                  <c:v>single-sized qp30</c:v>
                </c:pt>
                <c:pt idx="6">
                  <c:v>multi-sized qp40</c:v>
                </c:pt>
                <c:pt idx="7">
                  <c:v>single-sized qp40</c:v>
                </c:pt>
                <c:pt idx="8">
                  <c:v>multi-sized qp50</c:v>
                </c:pt>
                <c:pt idx="9">
                  <c:v>single-sized qp50</c:v>
                </c:pt>
              </c:strCache>
            </c:strRef>
          </c:cat>
          <c:val>
            <c:numRef>
              <c:f>Sheet7!$B$39:$K$39</c:f>
              <c:numCache>
                <c:formatCode>General</c:formatCode>
                <c:ptCount val="10"/>
                <c:pt idx="0">
                  <c:v>5.5359657550676958E-4</c:v>
                </c:pt>
                <c:pt idx="1">
                  <c:v>5.375451231983498E-4</c:v>
                </c:pt>
                <c:pt idx="2">
                  <c:v>4.9333684235710693E-3</c:v>
                </c:pt>
                <c:pt idx="3">
                  <c:v>4.7481510420174858E-3</c:v>
                </c:pt>
                <c:pt idx="4">
                  <c:v>1.656663504572874E-2</c:v>
                </c:pt>
                <c:pt idx="5">
                  <c:v>1.6644395210258511E-2</c:v>
                </c:pt>
                <c:pt idx="6">
                  <c:v>4.3724507431731771E-2</c:v>
                </c:pt>
                <c:pt idx="7">
                  <c:v>4.9538596381393601E-2</c:v>
                </c:pt>
                <c:pt idx="8">
                  <c:v>0.1470452198122951</c:v>
                </c:pt>
                <c:pt idx="9">
                  <c:v>0.14997891185153944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D11-4A22-98A0-50DB3D00C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681512"/>
        <c:axId val="455677200"/>
      </c:barChart>
      <c:catAx>
        <c:axId val="45568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77200"/>
        <c:crosses val="autoZero"/>
        <c:auto val="1"/>
        <c:lblAlgn val="ctr"/>
        <c:lblOffset val="100"/>
        <c:noMultiLvlLbl val="0"/>
      </c:catAx>
      <c:valAx>
        <c:axId val="45567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8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Capacity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Sheet7!$B$11</c:f>
              <c:strCache>
                <c:ptCount val="1"/>
                <c:pt idx="0">
                  <c:v>multi-sized qp10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Sheet7!$A$12:$A$17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Sheet7!$B$12:$B$17</c:f>
              <c:numCache>
                <c:formatCode>General</c:formatCode>
                <c:ptCount val="6"/>
                <c:pt idx="0">
                  <c:v>975138</c:v>
                </c:pt>
                <c:pt idx="1">
                  <c:v>809190</c:v>
                </c:pt>
                <c:pt idx="2">
                  <c:v>742010</c:v>
                </c:pt>
                <c:pt idx="3">
                  <c:v>690645</c:v>
                </c:pt>
                <c:pt idx="4">
                  <c:v>682386</c:v>
                </c:pt>
                <c:pt idx="5">
                  <c:v>804557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523-448F-BC84-406AA15A993F}"/>
            </c:ext>
          </c:extLst>
        </c:ser>
        <c:ser>
          <c:idx val="1"/>
          <c:order val="1"/>
          <c:tx>
            <c:strRef>
              <c:f>Sheet7!$D$11</c:f>
              <c:strCache>
                <c:ptCount val="1"/>
                <c:pt idx="0">
                  <c:v>multi-sized qp20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Sheet7!$A$12:$A$17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Sheet7!$D$12:$D$17</c:f>
              <c:numCache>
                <c:formatCode>General</c:formatCode>
                <c:ptCount val="6"/>
                <c:pt idx="0">
                  <c:v>557316</c:v>
                </c:pt>
                <c:pt idx="1">
                  <c:v>499548</c:v>
                </c:pt>
                <c:pt idx="2">
                  <c:v>419565</c:v>
                </c:pt>
                <c:pt idx="3">
                  <c:v>522367</c:v>
                </c:pt>
                <c:pt idx="4">
                  <c:v>251338</c:v>
                </c:pt>
                <c:pt idx="5">
                  <c:v>459767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523-448F-BC84-406AA15A993F}"/>
            </c:ext>
          </c:extLst>
        </c:ser>
        <c:ser>
          <c:idx val="2"/>
          <c:order val="2"/>
          <c:tx>
            <c:strRef>
              <c:f>Sheet7!$F$11</c:f>
              <c:strCache>
                <c:ptCount val="1"/>
                <c:pt idx="0">
                  <c:v>multi-sized qp30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Sheet7!$A$12:$A$17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Sheet7!$F$12:$F$17</c:f>
              <c:numCache>
                <c:formatCode>General</c:formatCode>
                <c:ptCount val="6"/>
                <c:pt idx="0">
                  <c:v>329568</c:v>
                </c:pt>
                <c:pt idx="1">
                  <c:v>377428</c:v>
                </c:pt>
                <c:pt idx="2">
                  <c:v>240369</c:v>
                </c:pt>
                <c:pt idx="3">
                  <c:v>445689</c:v>
                </c:pt>
                <c:pt idx="4">
                  <c:v>185027</c:v>
                </c:pt>
                <c:pt idx="5">
                  <c:v>328896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523-448F-BC84-406AA15A993F}"/>
            </c:ext>
          </c:extLst>
        </c:ser>
        <c:ser>
          <c:idx val="3"/>
          <c:order val="3"/>
          <c:tx>
            <c:strRef>
              <c:f>Sheet7!$H$11</c:f>
              <c:strCache>
                <c:ptCount val="1"/>
                <c:pt idx="0">
                  <c:v>multi-sized qp40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Sheet7!$A$12:$A$17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Sheet7!$H$12:$H$17</c:f>
              <c:numCache>
                <c:formatCode>General</c:formatCode>
                <c:ptCount val="6"/>
                <c:pt idx="0">
                  <c:v>155037</c:v>
                </c:pt>
                <c:pt idx="1">
                  <c:v>254517</c:v>
                </c:pt>
                <c:pt idx="2">
                  <c:v>81581</c:v>
                </c:pt>
                <c:pt idx="3">
                  <c:v>215051</c:v>
                </c:pt>
                <c:pt idx="4">
                  <c:v>105433</c:v>
                </c:pt>
                <c:pt idx="5">
                  <c:v>173580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523-448F-BC84-406AA15A993F}"/>
            </c:ext>
          </c:extLst>
        </c:ser>
        <c:ser>
          <c:idx val="4"/>
          <c:order val="4"/>
          <c:tx>
            <c:strRef>
              <c:f>Sheet7!$J$11</c:f>
              <c:strCache>
                <c:ptCount val="1"/>
                <c:pt idx="0">
                  <c:v>multi-sized qp50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Sheet7!$A$12:$A$17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Sheet7!$J$12:$J$17</c:f>
              <c:numCache>
                <c:formatCode>General</c:formatCode>
                <c:ptCount val="6"/>
                <c:pt idx="0">
                  <c:v>40681</c:v>
                </c:pt>
                <c:pt idx="1">
                  <c:v>89310</c:v>
                </c:pt>
                <c:pt idx="2">
                  <c:v>22990</c:v>
                </c:pt>
                <c:pt idx="3">
                  <c:v>81961</c:v>
                </c:pt>
                <c:pt idx="4">
                  <c:v>43872</c:v>
                </c:pt>
                <c:pt idx="5">
                  <c:v>44538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523-448F-BC84-406AA15A9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674456"/>
        <c:axId val="455677592"/>
      </c:barChart>
      <c:catAx>
        <c:axId val="45567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77592"/>
        <c:crosses val="autoZero"/>
        <c:auto val="1"/>
        <c:lblAlgn val="ctr"/>
        <c:lblOffset val="100"/>
        <c:noMultiLvlLbl val="0"/>
      </c:catAx>
      <c:valAx>
        <c:axId val="45567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7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Capacity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Sheet7!$C$11</c:f>
              <c:strCache>
                <c:ptCount val="1"/>
                <c:pt idx="0">
                  <c:v>single-sized qp10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Sheet7!$A$12:$A$17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Sheet7!$C$12:$C$17</c:f>
              <c:numCache>
                <c:formatCode>General</c:formatCode>
                <c:ptCount val="6"/>
                <c:pt idx="0">
                  <c:v>839925</c:v>
                </c:pt>
                <c:pt idx="1">
                  <c:v>676915</c:v>
                </c:pt>
                <c:pt idx="2">
                  <c:v>652061</c:v>
                </c:pt>
                <c:pt idx="3">
                  <c:v>278658</c:v>
                </c:pt>
                <c:pt idx="4">
                  <c:v>576710</c:v>
                </c:pt>
                <c:pt idx="5">
                  <c:v>686454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D36-4D65-B434-103B62CBA226}"/>
            </c:ext>
          </c:extLst>
        </c:ser>
        <c:ser>
          <c:idx val="1"/>
          <c:order val="1"/>
          <c:tx>
            <c:strRef>
              <c:f>Sheet7!$E$11</c:f>
              <c:strCache>
                <c:ptCount val="1"/>
                <c:pt idx="0">
                  <c:v>single-sized qp20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Sheet7!$A$12:$A$17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Sheet7!$E$12:$E$17</c:f>
              <c:numCache>
                <c:formatCode>General</c:formatCode>
                <c:ptCount val="6"/>
                <c:pt idx="0">
                  <c:v>439749</c:v>
                </c:pt>
                <c:pt idx="1">
                  <c:v>396140</c:v>
                </c:pt>
                <c:pt idx="2">
                  <c:v>358280</c:v>
                </c:pt>
                <c:pt idx="3">
                  <c:v>145110</c:v>
                </c:pt>
                <c:pt idx="4">
                  <c:v>197728</c:v>
                </c:pt>
                <c:pt idx="5">
                  <c:v>371155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D36-4D65-B434-103B62CBA226}"/>
            </c:ext>
          </c:extLst>
        </c:ser>
        <c:ser>
          <c:idx val="2"/>
          <c:order val="2"/>
          <c:tx>
            <c:strRef>
              <c:f>Sheet7!$G$11</c:f>
              <c:strCache>
                <c:ptCount val="1"/>
                <c:pt idx="0">
                  <c:v>single-sized qp30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Sheet7!$A$12:$A$17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Sheet7!$G$12:$G$17</c:f>
              <c:numCache>
                <c:formatCode>General</c:formatCode>
                <c:ptCount val="6"/>
                <c:pt idx="0">
                  <c:v>219407</c:v>
                </c:pt>
                <c:pt idx="1">
                  <c:v>259114</c:v>
                </c:pt>
                <c:pt idx="2">
                  <c:v>171898</c:v>
                </c:pt>
                <c:pt idx="3">
                  <c:v>287885</c:v>
                </c:pt>
                <c:pt idx="4">
                  <c:v>119581</c:v>
                </c:pt>
                <c:pt idx="5">
                  <c:v>229741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D36-4D65-B434-103B62CBA226}"/>
            </c:ext>
          </c:extLst>
        </c:ser>
        <c:ser>
          <c:idx val="3"/>
          <c:order val="3"/>
          <c:tx>
            <c:strRef>
              <c:f>Sheet7!$I$11</c:f>
              <c:strCache>
                <c:ptCount val="1"/>
                <c:pt idx="0">
                  <c:v>single-sized qp40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Sheet7!$A$12:$A$17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Sheet7!$I$12:$I$17</c:f>
              <c:numCache>
                <c:formatCode>General</c:formatCode>
                <c:ptCount val="6"/>
                <c:pt idx="0">
                  <c:v>60418</c:v>
                </c:pt>
                <c:pt idx="1">
                  <c:v>122208</c:v>
                </c:pt>
                <c:pt idx="2">
                  <c:v>31006</c:v>
                </c:pt>
                <c:pt idx="3">
                  <c:v>73222</c:v>
                </c:pt>
                <c:pt idx="4">
                  <c:v>44005</c:v>
                </c:pt>
                <c:pt idx="5">
                  <c:v>79865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D36-4D65-B434-103B62CBA226}"/>
            </c:ext>
          </c:extLst>
        </c:ser>
        <c:ser>
          <c:idx val="4"/>
          <c:order val="4"/>
          <c:tx>
            <c:strRef>
              <c:f>Sheet7!$K$11</c:f>
              <c:strCache>
                <c:ptCount val="1"/>
                <c:pt idx="0">
                  <c:v>single-sized qp50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Sheet7!$A$12:$A$17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Sheet7!$K$12:$K$17</c:f>
              <c:numCache>
                <c:formatCode>General</c:formatCode>
                <c:ptCount val="6"/>
                <c:pt idx="0">
                  <c:v>718</c:v>
                </c:pt>
                <c:pt idx="1">
                  <c:v>6646</c:v>
                </c:pt>
                <c:pt idx="2">
                  <c:v>961</c:v>
                </c:pt>
                <c:pt idx="3">
                  <c:v>5035</c:v>
                </c:pt>
                <c:pt idx="4">
                  <c:v>2298</c:v>
                </c:pt>
                <c:pt idx="5">
                  <c:v>2371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D36-4D65-B434-103B62CBA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675632"/>
        <c:axId val="455676024"/>
      </c:barChart>
      <c:catAx>
        <c:axId val="45567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76024"/>
        <c:crosses val="autoZero"/>
        <c:auto val="1"/>
        <c:lblAlgn val="ctr"/>
        <c:lblOffset val="100"/>
        <c:noMultiLvlLbl val="0"/>
      </c:catAx>
      <c:valAx>
        <c:axId val="45567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7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BIR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Sheet7!$B$22</c:f>
              <c:strCache>
                <c:ptCount val="1"/>
                <c:pt idx="0">
                  <c:v>multi-sized qp10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Sheet7!$A$23:$A$28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Sheet7!$B$23:$B$28</c:f>
              <c:numCache>
                <c:formatCode>General</c:formatCode>
                <c:ptCount val="6"/>
                <c:pt idx="0">
                  <c:v>3.1449999999999998E-3</c:v>
                </c:pt>
                <c:pt idx="1">
                  <c:v>2.366E-3</c:v>
                </c:pt>
                <c:pt idx="2">
                  <c:v>1.658E-3</c:v>
                </c:pt>
                <c:pt idx="3">
                  <c:v>2.4060000000000002E-3</c:v>
                </c:pt>
                <c:pt idx="4">
                  <c:v>5.1320000000000003E-3</c:v>
                </c:pt>
                <c:pt idx="5">
                  <c:v>4.4539999999999996E-3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F2-4C15-9FB8-C3EB931BE83C}"/>
            </c:ext>
          </c:extLst>
        </c:ser>
        <c:ser>
          <c:idx val="1"/>
          <c:order val="1"/>
          <c:tx>
            <c:strRef>
              <c:f>Sheet7!$D$22</c:f>
              <c:strCache>
                <c:ptCount val="1"/>
                <c:pt idx="0">
                  <c:v>multi-sized qp20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Sheet7!$A$23:$A$28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Sheet7!$D$23:$D$28</c:f>
              <c:numCache>
                <c:formatCode>General</c:formatCode>
                <c:ptCount val="6"/>
                <c:pt idx="0">
                  <c:v>1.2737999999999999E-2</c:v>
                </c:pt>
                <c:pt idx="1">
                  <c:v>5.7080000000000004E-3</c:v>
                </c:pt>
                <c:pt idx="2">
                  <c:v>8.0239999999999999E-3</c:v>
                </c:pt>
                <c:pt idx="3">
                  <c:v>7.4139999999999996E-3</c:v>
                </c:pt>
                <c:pt idx="4">
                  <c:v>1.5103E-2</c:v>
                </c:pt>
                <c:pt idx="5">
                  <c:v>2.2682000000000001E-2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CF2-4C15-9FB8-C3EB931BE83C}"/>
            </c:ext>
          </c:extLst>
        </c:ser>
        <c:ser>
          <c:idx val="2"/>
          <c:order val="2"/>
          <c:tx>
            <c:strRef>
              <c:f>Sheet7!$F$22</c:f>
              <c:strCache>
                <c:ptCount val="1"/>
                <c:pt idx="0">
                  <c:v>multi-sized qp30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Sheet7!$A$23:$A$28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Sheet7!$F$23:$F$28</c:f>
              <c:numCache>
                <c:formatCode>General</c:formatCode>
                <c:ptCount val="6"/>
                <c:pt idx="0">
                  <c:v>3.2974999999999997E-2</c:v>
                </c:pt>
                <c:pt idx="1">
                  <c:v>1.4031999999999999E-2</c:v>
                </c:pt>
                <c:pt idx="2">
                  <c:v>2.2773000000000002E-2</c:v>
                </c:pt>
                <c:pt idx="3">
                  <c:v>4.5221999999999998E-2</c:v>
                </c:pt>
                <c:pt idx="4">
                  <c:v>5.7965999999999997E-2</c:v>
                </c:pt>
                <c:pt idx="5">
                  <c:v>5.4487000000000001E-2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CF2-4C15-9FB8-C3EB931BE83C}"/>
            </c:ext>
          </c:extLst>
        </c:ser>
        <c:ser>
          <c:idx val="3"/>
          <c:order val="3"/>
          <c:tx>
            <c:strRef>
              <c:f>Sheet7!$H$22</c:f>
              <c:strCache>
                <c:ptCount val="1"/>
                <c:pt idx="0">
                  <c:v>multi-sized qp40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Sheet7!$A$23:$A$28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Sheet7!$H$23:$H$28</c:f>
              <c:numCache>
                <c:formatCode>General</c:formatCode>
                <c:ptCount val="6"/>
                <c:pt idx="0">
                  <c:v>5.1982E-2</c:v>
                </c:pt>
                <c:pt idx="1">
                  <c:v>2.9187999999999999E-2</c:v>
                </c:pt>
                <c:pt idx="2">
                  <c:v>3.4009999999999999E-2</c:v>
                </c:pt>
                <c:pt idx="3">
                  <c:v>7.0249000000000006E-2</c:v>
                </c:pt>
                <c:pt idx="4">
                  <c:v>9.1135999999999995E-2</c:v>
                </c:pt>
                <c:pt idx="5">
                  <c:v>7.5897000000000006E-2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CF2-4C15-9FB8-C3EB931BE83C}"/>
            </c:ext>
          </c:extLst>
        </c:ser>
        <c:ser>
          <c:idx val="4"/>
          <c:order val="4"/>
          <c:tx>
            <c:strRef>
              <c:f>Sheet7!$J$22</c:f>
              <c:strCache>
                <c:ptCount val="1"/>
                <c:pt idx="0">
                  <c:v>multi-sized qp50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Sheet7!$A$23:$A$28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Sheet7!$J$23:$J$28</c:f>
              <c:numCache>
                <c:formatCode>General</c:formatCode>
                <c:ptCount val="6"/>
                <c:pt idx="0">
                  <c:v>5.9207000000000003E-2</c:v>
                </c:pt>
                <c:pt idx="1">
                  <c:v>4.2115E-2</c:v>
                </c:pt>
                <c:pt idx="2">
                  <c:v>5.1587000000000001E-2</c:v>
                </c:pt>
                <c:pt idx="3">
                  <c:v>9.0149000000000007E-2</c:v>
                </c:pt>
                <c:pt idx="4">
                  <c:v>0.104722</c:v>
                </c:pt>
                <c:pt idx="5">
                  <c:v>6.5490999999999994E-2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CF2-4C15-9FB8-C3EB931BE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676808"/>
        <c:axId val="455678768"/>
      </c:barChart>
      <c:catAx>
        <c:axId val="45567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78768"/>
        <c:crosses val="autoZero"/>
        <c:auto val="1"/>
        <c:lblAlgn val="ctr"/>
        <c:lblOffset val="100"/>
        <c:noMultiLvlLbl val="0"/>
      </c:catAx>
      <c:valAx>
        <c:axId val="45567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7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BIR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Sheet7!$C$22</c:f>
              <c:strCache>
                <c:ptCount val="1"/>
                <c:pt idx="0">
                  <c:v>single-sized qp10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Sheet7!$A$23:$A$28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Sheet7!$C$23:$C$28</c:f>
              <c:numCache>
                <c:formatCode>General</c:formatCode>
                <c:ptCount val="6"/>
                <c:pt idx="0">
                  <c:v>2.7989999999999998E-3</c:v>
                </c:pt>
                <c:pt idx="1">
                  <c:v>1.8270000000000001E-3</c:v>
                </c:pt>
                <c:pt idx="2">
                  <c:v>1.124E-3</c:v>
                </c:pt>
                <c:pt idx="3">
                  <c:v>7.1400000000000001E-4</c:v>
                </c:pt>
                <c:pt idx="4">
                  <c:v>3.3909999999999999E-3</c:v>
                </c:pt>
                <c:pt idx="5">
                  <c:v>3.6900000000000001E-3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27-4C9F-AF3F-45A9C214AE61}"/>
            </c:ext>
          </c:extLst>
        </c:ser>
        <c:ser>
          <c:idx val="1"/>
          <c:order val="1"/>
          <c:tx>
            <c:strRef>
              <c:f>Sheet7!$E$22</c:f>
              <c:strCache>
                <c:ptCount val="1"/>
                <c:pt idx="0">
                  <c:v>single-sized qp20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Sheet7!$A$23:$A$28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Sheet7!$E$23:$E$28</c:f>
              <c:numCache>
                <c:formatCode>General</c:formatCode>
                <c:ptCount val="6"/>
                <c:pt idx="0">
                  <c:v>9.6380000000000007E-3</c:v>
                </c:pt>
                <c:pt idx="1">
                  <c:v>4.372E-3</c:v>
                </c:pt>
                <c:pt idx="2">
                  <c:v>7.5940000000000001E-3</c:v>
                </c:pt>
                <c:pt idx="3">
                  <c:v>2.0230000000000001E-3</c:v>
                </c:pt>
                <c:pt idx="4">
                  <c:v>1.1847E-2</c:v>
                </c:pt>
                <c:pt idx="5">
                  <c:v>1.7623E-2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227-4C9F-AF3F-45A9C214AE61}"/>
            </c:ext>
          </c:extLst>
        </c:ser>
        <c:ser>
          <c:idx val="2"/>
          <c:order val="2"/>
          <c:tx>
            <c:strRef>
              <c:f>Sheet7!$G$22</c:f>
              <c:strCache>
                <c:ptCount val="1"/>
                <c:pt idx="0">
                  <c:v>single-sized qp30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Sheet7!$A$23:$A$28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Sheet7!$G$23:$G$28</c:f>
              <c:numCache>
                <c:formatCode>General</c:formatCode>
                <c:ptCount val="6"/>
                <c:pt idx="0">
                  <c:v>2.2305999999999999E-2</c:v>
                </c:pt>
                <c:pt idx="1">
                  <c:v>1.0368E-2</c:v>
                </c:pt>
                <c:pt idx="2">
                  <c:v>1.7499000000000001E-2</c:v>
                </c:pt>
                <c:pt idx="3">
                  <c:v>2.1295000000000001E-2</c:v>
                </c:pt>
                <c:pt idx="4">
                  <c:v>3.737E-2</c:v>
                </c:pt>
                <c:pt idx="5">
                  <c:v>3.8239000000000002E-2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227-4C9F-AF3F-45A9C214AE61}"/>
            </c:ext>
          </c:extLst>
        </c:ser>
        <c:ser>
          <c:idx val="3"/>
          <c:order val="3"/>
          <c:tx>
            <c:strRef>
              <c:f>Sheet7!$I$22</c:f>
              <c:strCache>
                <c:ptCount val="1"/>
                <c:pt idx="0">
                  <c:v>single-sized qp40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Sheet7!$A$23:$A$28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Sheet7!$I$23:$I$28</c:f>
              <c:numCache>
                <c:formatCode>General</c:formatCode>
                <c:ptCount val="6"/>
                <c:pt idx="0">
                  <c:v>2.401E-2</c:v>
                </c:pt>
                <c:pt idx="1">
                  <c:v>1.5664000000000001E-2</c:v>
                </c:pt>
                <c:pt idx="2">
                  <c:v>1.6796999999999999E-2</c:v>
                </c:pt>
                <c:pt idx="3">
                  <c:v>2.4299000000000001E-2</c:v>
                </c:pt>
                <c:pt idx="4">
                  <c:v>3.9549000000000001E-2</c:v>
                </c:pt>
                <c:pt idx="5">
                  <c:v>3.9564000000000002E-2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227-4C9F-AF3F-45A9C214AE61}"/>
            </c:ext>
          </c:extLst>
        </c:ser>
        <c:ser>
          <c:idx val="4"/>
          <c:order val="4"/>
          <c:tx>
            <c:strRef>
              <c:f>Sheet7!$K$22</c:f>
              <c:strCache>
                <c:ptCount val="1"/>
                <c:pt idx="0">
                  <c:v>single-sized qp50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Sheet7!$A$23:$A$28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Sheet7!$K$23:$K$28</c:f>
              <c:numCache>
                <c:formatCode>General</c:formatCode>
                <c:ptCount val="6"/>
                <c:pt idx="0">
                  <c:v>2.5699999999999998E-3</c:v>
                </c:pt>
                <c:pt idx="1">
                  <c:v>4.1999999999999997E-3</c:v>
                </c:pt>
                <c:pt idx="2">
                  <c:v>3.271E-3</c:v>
                </c:pt>
                <c:pt idx="3">
                  <c:v>9.665E-3</c:v>
                </c:pt>
                <c:pt idx="4">
                  <c:v>7.5490000000000002E-3</c:v>
                </c:pt>
                <c:pt idx="5">
                  <c:v>3.5560000000000001E-3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227-4C9F-AF3F-45A9C214A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679160"/>
        <c:axId val="455679552"/>
      </c:barChart>
      <c:catAx>
        <c:axId val="455679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79552"/>
        <c:crosses val="autoZero"/>
        <c:auto val="1"/>
        <c:lblAlgn val="ctr"/>
        <c:lblOffset val="100"/>
        <c:noMultiLvlLbl val="0"/>
      </c:catAx>
      <c:valAx>
        <c:axId val="45567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79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NBR(%/Kbits)</a:t>
            </a:r>
            <a:endParaRPr lang="zh-CN" altLang="en-US"/>
          </a:p>
        </c:rich>
      </c:tx>
      <c:layout>
        <c:manualLayout>
          <c:xMode val="edge"/>
          <c:yMode val="edge"/>
          <c:x val="0.41029436883446835"/>
          <c:y val="2.37664673236025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Sheet7!$B$33</c:f>
              <c:strCache>
                <c:ptCount val="1"/>
                <c:pt idx="0">
                  <c:v>multi-sized qp10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Sheet7!$A$34:$A$39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Sheet7!$B$34:$B$39</c:f>
              <c:numCache>
                <c:formatCode>General</c:formatCode>
                <c:ptCount val="6"/>
                <c:pt idx="0">
                  <c:v>3.2251845379833419E-4</c:v>
                </c:pt>
                <c:pt idx="1">
                  <c:v>2.9239115658868746E-4</c:v>
                </c:pt>
                <c:pt idx="2">
                  <c:v>2.2344712335413267E-4</c:v>
                </c:pt>
                <c:pt idx="3">
                  <c:v>3.4837000195469452E-4</c:v>
                </c:pt>
                <c:pt idx="4">
                  <c:v>7.5206701192580164E-4</c:v>
                </c:pt>
                <c:pt idx="5">
                  <c:v>5.5359657550676958E-4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0DC-42B3-B1FA-A815A94BC6F4}"/>
            </c:ext>
          </c:extLst>
        </c:ser>
        <c:ser>
          <c:idx val="1"/>
          <c:order val="1"/>
          <c:tx>
            <c:strRef>
              <c:f>Sheet7!$D$33</c:f>
              <c:strCache>
                <c:ptCount val="1"/>
                <c:pt idx="0">
                  <c:v>multi-sized qp20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Sheet7!$A$34:$A$39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Sheet7!$D$34:$D$39</c:f>
              <c:numCache>
                <c:formatCode>General</c:formatCode>
                <c:ptCount val="6"/>
                <c:pt idx="0">
                  <c:v>2.2855973989621687E-3</c:v>
                </c:pt>
                <c:pt idx="1">
                  <c:v>1.142632940177921E-3</c:v>
                </c:pt>
                <c:pt idx="2">
                  <c:v>1.9124569494595592E-3</c:v>
                </c:pt>
                <c:pt idx="3">
                  <c:v>1.4193086469857399E-3</c:v>
                </c:pt>
                <c:pt idx="4">
                  <c:v>6.0090396199540064E-3</c:v>
                </c:pt>
                <c:pt idx="5">
                  <c:v>4.9333684235710693E-3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0DC-42B3-B1FA-A815A94BC6F4}"/>
            </c:ext>
          </c:extLst>
        </c:ser>
        <c:ser>
          <c:idx val="2"/>
          <c:order val="2"/>
          <c:tx>
            <c:strRef>
              <c:f>Sheet7!$F$33</c:f>
              <c:strCache>
                <c:ptCount val="1"/>
                <c:pt idx="0">
                  <c:v>multi-sized qp30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Sheet7!$A$34:$A$39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Sheet7!$F$34:$F$39</c:f>
              <c:numCache>
                <c:formatCode>General</c:formatCode>
                <c:ptCount val="6"/>
                <c:pt idx="0">
                  <c:v>1.000552238081367E-2</c:v>
                </c:pt>
                <c:pt idx="1">
                  <c:v>3.7177951821274523E-3</c:v>
                </c:pt>
                <c:pt idx="2">
                  <c:v>9.4741834429564551E-3</c:v>
                </c:pt>
                <c:pt idx="3">
                  <c:v>1.0146537159319615E-2</c:v>
                </c:pt>
                <c:pt idx="4">
                  <c:v>3.1328400719894935E-2</c:v>
                </c:pt>
                <c:pt idx="5">
                  <c:v>1.656663504572874E-2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0DC-42B3-B1FA-A815A94BC6F4}"/>
            </c:ext>
          </c:extLst>
        </c:ser>
        <c:ser>
          <c:idx val="3"/>
          <c:order val="3"/>
          <c:tx>
            <c:strRef>
              <c:f>Sheet7!$H$33</c:f>
              <c:strCache>
                <c:ptCount val="1"/>
                <c:pt idx="0">
                  <c:v>multi-sized qp40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Sheet7!$A$34:$A$39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Sheet7!$H$34:$H$39</c:f>
              <c:numCache>
                <c:formatCode>General</c:formatCode>
                <c:ptCount val="6"/>
                <c:pt idx="0">
                  <c:v>3.352877055154576E-2</c:v>
                </c:pt>
                <c:pt idx="1">
                  <c:v>1.1467996243865831E-2</c:v>
                </c:pt>
                <c:pt idx="2">
                  <c:v>4.168862847967051E-2</c:v>
                </c:pt>
                <c:pt idx="3">
                  <c:v>3.2666204760731177E-2</c:v>
                </c:pt>
                <c:pt idx="4">
                  <c:v>8.6439729496457465E-2</c:v>
                </c:pt>
                <c:pt idx="5">
                  <c:v>4.3724507431731771E-2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0DC-42B3-B1FA-A815A94BC6F4}"/>
            </c:ext>
          </c:extLst>
        </c:ser>
        <c:ser>
          <c:idx val="4"/>
          <c:order val="4"/>
          <c:tx>
            <c:strRef>
              <c:f>Sheet7!$J$33</c:f>
              <c:strCache>
                <c:ptCount val="1"/>
                <c:pt idx="0">
                  <c:v>multi-sized qp50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Sheet7!$A$34:$A$39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Sheet7!$J$34:$J$39</c:f>
              <c:numCache>
                <c:formatCode>General</c:formatCode>
                <c:ptCount val="6"/>
                <c:pt idx="0">
                  <c:v>0.1455396868316905</c:v>
                </c:pt>
                <c:pt idx="1">
                  <c:v>4.7155973575187547E-2</c:v>
                </c:pt>
                <c:pt idx="2">
                  <c:v>0.22438886472379296</c:v>
                </c:pt>
                <c:pt idx="3">
                  <c:v>0.10999011725088763</c:v>
                </c:pt>
                <c:pt idx="4">
                  <c:v>0.23869894237782641</c:v>
                </c:pt>
                <c:pt idx="5">
                  <c:v>0.1470452198122951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0DC-42B3-B1FA-A815A94BC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681120"/>
        <c:axId val="455678376"/>
      </c:barChart>
      <c:catAx>
        <c:axId val="45568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78376"/>
        <c:crosses val="autoZero"/>
        <c:auto val="1"/>
        <c:lblAlgn val="ctr"/>
        <c:lblOffset val="100"/>
        <c:noMultiLvlLbl val="0"/>
      </c:catAx>
      <c:valAx>
        <c:axId val="45567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8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NBR(%/Kbits)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Sheet7!$C$33</c:f>
              <c:strCache>
                <c:ptCount val="1"/>
                <c:pt idx="0">
                  <c:v>single-sized qp10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Sheet7!$A$34:$A$39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Sheet7!$C$34:$C$39</c:f>
              <c:numCache>
                <c:formatCode>General</c:formatCode>
                <c:ptCount val="6"/>
                <c:pt idx="0">
                  <c:v>3.3324403964639696E-4</c:v>
                </c:pt>
                <c:pt idx="1">
                  <c:v>2.6990094768176211E-4</c:v>
                </c:pt>
                <c:pt idx="2">
                  <c:v>1.7237651078656752E-4</c:v>
                </c:pt>
                <c:pt idx="3">
                  <c:v>2.5622806450918331E-4</c:v>
                </c:pt>
                <c:pt idx="4">
                  <c:v>5.879904978238629E-4</c:v>
                </c:pt>
                <c:pt idx="5">
                  <c:v>5.375451231983498E-4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86B-43D8-A0D3-E1208122AB4C}"/>
            </c:ext>
          </c:extLst>
        </c:ser>
        <c:ser>
          <c:idx val="1"/>
          <c:order val="1"/>
          <c:tx>
            <c:strRef>
              <c:f>Sheet7!$E$33</c:f>
              <c:strCache>
                <c:ptCount val="1"/>
                <c:pt idx="0">
                  <c:v>single-sized qp20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Sheet7!$A$34:$A$39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Sheet7!$E$34:$E$39</c:f>
              <c:numCache>
                <c:formatCode>General</c:formatCode>
                <c:ptCount val="6"/>
                <c:pt idx="0">
                  <c:v>2.1917048134276603E-3</c:v>
                </c:pt>
                <c:pt idx="1">
                  <c:v>1.1036502246680466E-3</c:v>
                </c:pt>
                <c:pt idx="2">
                  <c:v>2.1195712850284694E-3</c:v>
                </c:pt>
                <c:pt idx="3">
                  <c:v>1.3941148094548965E-3</c:v>
                </c:pt>
                <c:pt idx="4">
                  <c:v>5.9915641689593782E-3</c:v>
                </c:pt>
                <c:pt idx="5">
                  <c:v>4.7481510420174858E-3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86B-43D8-A0D3-E1208122AB4C}"/>
            </c:ext>
          </c:extLst>
        </c:ser>
        <c:ser>
          <c:idx val="2"/>
          <c:order val="2"/>
          <c:tx>
            <c:strRef>
              <c:f>Sheet7!$G$33</c:f>
              <c:strCache>
                <c:ptCount val="1"/>
                <c:pt idx="0">
                  <c:v>single-sized qp30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Sheet7!$A$34:$A$39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Sheet7!$G$34:$G$39</c:f>
              <c:numCache>
                <c:formatCode>General</c:formatCode>
                <c:ptCount val="6"/>
                <c:pt idx="0">
                  <c:v>1.0166494232180377E-2</c:v>
                </c:pt>
                <c:pt idx="1">
                  <c:v>4.0013276009787197E-3</c:v>
                </c:pt>
                <c:pt idx="2">
                  <c:v>1.0179874111391639E-2</c:v>
                </c:pt>
                <c:pt idx="3">
                  <c:v>7.3970509057436143E-3</c:v>
                </c:pt>
                <c:pt idx="4">
                  <c:v>3.1250783987422752E-2</c:v>
                </c:pt>
                <c:pt idx="5">
                  <c:v>1.6644395210258511E-2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86B-43D8-A0D3-E1208122AB4C}"/>
            </c:ext>
          </c:extLst>
        </c:ser>
        <c:ser>
          <c:idx val="3"/>
          <c:order val="3"/>
          <c:tx>
            <c:strRef>
              <c:f>Sheet7!$I$33</c:f>
              <c:strCache>
                <c:ptCount val="1"/>
                <c:pt idx="0">
                  <c:v>single-sized qp40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Sheet7!$A$34:$A$39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Sheet7!$I$34:$I$39</c:f>
              <c:numCache>
                <c:formatCode>General</c:formatCode>
                <c:ptCount val="6"/>
                <c:pt idx="0">
                  <c:v>3.973981263861763E-2</c:v>
                </c:pt>
                <c:pt idx="1">
                  <c:v>1.2817491489918828E-2</c:v>
                </c:pt>
                <c:pt idx="2">
                  <c:v>5.4173385796297484E-2</c:v>
                </c:pt>
                <c:pt idx="3">
                  <c:v>3.3185381442735785E-2</c:v>
                </c:pt>
                <c:pt idx="4">
                  <c:v>8.9873877968412688E-2</c:v>
                </c:pt>
                <c:pt idx="5">
                  <c:v>4.9538596381393601E-2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86B-43D8-A0D3-E1208122AB4C}"/>
            </c:ext>
          </c:extLst>
        </c:ser>
        <c:ser>
          <c:idx val="4"/>
          <c:order val="4"/>
          <c:tx>
            <c:strRef>
              <c:f>Sheet7!$K$33</c:f>
              <c:strCache>
                <c:ptCount val="1"/>
                <c:pt idx="0">
                  <c:v>single-sized qp50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Sheet7!$A$34:$A$39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Sheet7!$K$34:$K$39</c:f>
              <c:numCache>
                <c:formatCode>General</c:formatCode>
                <c:ptCount val="6"/>
                <c:pt idx="0">
                  <c:v>0.35793871866295263</c:v>
                </c:pt>
                <c:pt idx="1">
                  <c:v>6.3195907312669275E-2</c:v>
                </c:pt>
                <c:pt idx="2">
                  <c:v>0.3403746097814776</c:v>
                </c:pt>
                <c:pt idx="3">
                  <c:v>0.1919563058589871</c:v>
                </c:pt>
                <c:pt idx="4">
                  <c:v>0.32850304612706704</c:v>
                </c:pt>
                <c:pt idx="5">
                  <c:v>0.14997891185153944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86B-43D8-A0D3-E1208122A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675240"/>
        <c:axId val="455674848"/>
      </c:barChart>
      <c:catAx>
        <c:axId val="45567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74848"/>
        <c:crosses val="autoZero"/>
        <c:auto val="1"/>
        <c:lblAlgn val="ctr"/>
        <c:lblOffset val="100"/>
        <c:noMultiLvlLbl val="0"/>
      </c:catAx>
      <c:valAx>
        <c:axId val="4556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67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SSIM</a:t>
            </a:r>
            <a:endParaRPr lang="zh-CN" altLang="en-US"/>
          </a:p>
        </c:rich>
      </c:tx>
      <c:layout>
        <c:manualLayout>
          <c:xMode val="edge"/>
          <c:yMode val="edge"/>
          <c:x val="0.4492691886709082"/>
          <c:y val="3.1780273293773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multi-sized qp10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Sheet7!$A$2:$A$7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Sheet7!$B$2:$B$7</c:f>
              <c:numCache>
                <c:formatCode>General</c:formatCode>
                <c:ptCount val="6"/>
                <c:pt idx="0">
                  <c:v>0.99390000000000001</c:v>
                </c:pt>
                <c:pt idx="1">
                  <c:v>0.99550000000000005</c:v>
                </c:pt>
                <c:pt idx="2">
                  <c:v>0.99364600000000003</c:v>
                </c:pt>
                <c:pt idx="3">
                  <c:v>0.99391600000000002</c:v>
                </c:pt>
                <c:pt idx="4">
                  <c:v>0.99146400000000001</c:v>
                </c:pt>
                <c:pt idx="5">
                  <c:v>0.99294199999999999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81-49DE-9AE3-CD97FA13798B}"/>
            </c:ext>
          </c:extLst>
        </c:ser>
        <c:ser>
          <c:idx val="1"/>
          <c:order val="1"/>
          <c:tx>
            <c:strRef>
              <c:f>Sheet7!$D$1</c:f>
              <c:strCache>
                <c:ptCount val="1"/>
                <c:pt idx="0">
                  <c:v>multi-sized qp20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Sheet7!$A$2:$A$7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Sheet7!$D$2:$D$7</c:f>
              <c:numCache>
                <c:formatCode>General</c:formatCode>
                <c:ptCount val="6"/>
                <c:pt idx="0">
                  <c:v>0.98925300000000005</c:v>
                </c:pt>
                <c:pt idx="1">
                  <c:v>0.98540700000000003</c:v>
                </c:pt>
                <c:pt idx="2">
                  <c:v>0.98108300000000004</c:v>
                </c:pt>
                <c:pt idx="3">
                  <c:v>0.96777500000000005</c:v>
                </c:pt>
                <c:pt idx="4">
                  <c:v>0.98877999999999999</c:v>
                </c:pt>
                <c:pt idx="5">
                  <c:v>0.98971200000000004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081-49DE-9AE3-CD97FA13798B}"/>
            </c:ext>
          </c:extLst>
        </c:ser>
        <c:ser>
          <c:idx val="2"/>
          <c:order val="2"/>
          <c:tx>
            <c:strRef>
              <c:f>Sheet7!$F$1</c:f>
              <c:strCache>
                <c:ptCount val="1"/>
                <c:pt idx="0">
                  <c:v>multi-sized qp30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Sheet7!$A$2:$A$7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Sheet7!$F$2:$F$7</c:f>
              <c:numCache>
                <c:formatCode>General</c:formatCode>
                <c:ptCount val="6"/>
                <c:pt idx="0">
                  <c:v>0.98279300000000003</c:v>
                </c:pt>
                <c:pt idx="1">
                  <c:v>0.97167300000000001</c:v>
                </c:pt>
                <c:pt idx="2">
                  <c:v>0.97400399999999998</c:v>
                </c:pt>
                <c:pt idx="3">
                  <c:v>0.973715</c:v>
                </c:pt>
                <c:pt idx="4">
                  <c:v>0.99016599999999999</c:v>
                </c:pt>
                <c:pt idx="5">
                  <c:v>0.98835099999999998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081-49DE-9AE3-CD97FA13798B}"/>
            </c:ext>
          </c:extLst>
        </c:ser>
        <c:ser>
          <c:idx val="3"/>
          <c:order val="3"/>
          <c:tx>
            <c:strRef>
              <c:f>Sheet7!$H$1</c:f>
              <c:strCache>
                <c:ptCount val="1"/>
                <c:pt idx="0">
                  <c:v>multi-sized qp40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Sheet7!$A$2:$A$7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Sheet7!$H$2:$H$7</c:f>
              <c:numCache>
                <c:formatCode>General</c:formatCode>
                <c:ptCount val="6"/>
                <c:pt idx="0">
                  <c:v>0.95773299999999995</c:v>
                </c:pt>
                <c:pt idx="1">
                  <c:v>0.93187299999999995</c:v>
                </c:pt>
                <c:pt idx="2">
                  <c:v>0.94814200000000004</c:v>
                </c:pt>
                <c:pt idx="3">
                  <c:v>0.94315700000000002</c:v>
                </c:pt>
                <c:pt idx="4">
                  <c:v>0.97843800000000003</c:v>
                </c:pt>
                <c:pt idx="5">
                  <c:v>0.97843800000000003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081-49DE-9AE3-CD97FA13798B}"/>
            </c:ext>
          </c:extLst>
        </c:ser>
        <c:ser>
          <c:idx val="4"/>
          <c:order val="4"/>
          <c:tx>
            <c:strRef>
              <c:f>Sheet7!$J$1</c:f>
              <c:strCache>
                <c:ptCount val="1"/>
                <c:pt idx="0">
                  <c:v>multi-sized qp50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Sheet7!$A$2:$A$7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Sheet7!$J$2:$J$7</c:f>
              <c:numCache>
                <c:formatCode>General</c:formatCode>
                <c:ptCount val="6"/>
                <c:pt idx="0">
                  <c:v>0.93160699999999996</c:v>
                </c:pt>
                <c:pt idx="1">
                  <c:v>0.85054700000000005</c:v>
                </c:pt>
                <c:pt idx="2">
                  <c:v>0.93345800000000001</c:v>
                </c:pt>
                <c:pt idx="3">
                  <c:v>0.90726899999999999</c:v>
                </c:pt>
                <c:pt idx="4">
                  <c:v>0.94466600000000001</c:v>
                </c:pt>
                <c:pt idx="5">
                  <c:v>0.90489799999999998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081-49DE-9AE3-CD97FA13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902248"/>
        <c:axId val="455903424"/>
      </c:barChart>
      <c:catAx>
        <c:axId val="45590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903424"/>
        <c:crosses val="autoZero"/>
        <c:auto val="1"/>
        <c:lblAlgn val="ctr"/>
        <c:lblOffset val="100"/>
        <c:noMultiLvlLbl val="0"/>
      </c:catAx>
      <c:valAx>
        <c:axId val="45590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902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SSIM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Sheet7!$C$1</c:f>
              <c:strCache>
                <c:ptCount val="1"/>
                <c:pt idx="0">
                  <c:v>single-sized qp10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Sheet7!$A$2:$A$7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Sheet7!$C$2:$C$7</c:f>
              <c:numCache>
                <c:formatCode>General</c:formatCode>
                <c:ptCount val="6"/>
                <c:pt idx="0">
                  <c:v>0.99387300000000001</c:v>
                </c:pt>
                <c:pt idx="1">
                  <c:v>0.99539999999999995</c:v>
                </c:pt>
                <c:pt idx="2">
                  <c:v>0.99368299999999998</c:v>
                </c:pt>
                <c:pt idx="3">
                  <c:v>0.99390400000000001</c:v>
                </c:pt>
                <c:pt idx="4">
                  <c:v>0.99130300000000005</c:v>
                </c:pt>
                <c:pt idx="5">
                  <c:v>0.99292199999999997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853-4A9F-B65B-F7F322D37EEC}"/>
            </c:ext>
          </c:extLst>
        </c:ser>
        <c:ser>
          <c:idx val="1"/>
          <c:order val="1"/>
          <c:tx>
            <c:strRef>
              <c:f>Sheet7!$E$1</c:f>
              <c:strCache>
                <c:ptCount val="1"/>
                <c:pt idx="0">
                  <c:v>single-sized qp20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Sheet7!$A$2:$A$7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Sheet7!$E$2:$E$7</c:f>
              <c:numCache>
                <c:formatCode>General</c:formatCode>
                <c:ptCount val="6"/>
                <c:pt idx="0">
                  <c:v>0.98875299999999999</c:v>
                </c:pt>
                <c:pt idx="1">
                  <c:v>0.98532699999999995</c:v>
                </c:pt>
                <c:pt idx="2">
                  <c:v>0.98065400000000003</c:v>
                </c:pt>
                <c:pt idx="3">
                  <c:v>0.96771700000000005</c:v>
                </c:pt>
                <c:pt idx="4">
                  <c:v>0.98984499999999997</c:v>
                </c:pt>
                <c:pt idx="5">
                  <c:v>0.98925600000000002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853-4A9F-B65B-F7F322D37EEC}"/>
            </c:ext>
          </c:extLst>
        </c:ser>
        <c:ser>
          <c:idx val="2"/>
          <c:order val="2"/>
          <c:tx>
            <c:strRef>
              <c:f>Sheet7!$G$1</c:f>
              <c:strCache>
                <c:ptCount val="1"/>
                <c:pt idx="0">
                  <c:v>single-sized qp30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Sheet7!$A$2:$A$7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Sheet7!$G$2:$G$7</c:f>
              <c:numCache>
                <c:formatCode>General</c:formatCode>
                <c:ptCount val="6"/>
                <c:pt idx="0">
                  <c:v>0.97984700000000002</c:v>
                </c:pt>
                <c:pt idx="1">
                  <c:v>0.97006700000000001</c:v>
                </c:pt>
                <c:pt idx="2">
                  <c:v>0.97070000000000001</c:v>
                </c:pt>
                <c:pt idx="3">
                  <c:v>0.97226699999999999</c:v>
                </c:pt>
                <c:pt idx="4">
                  <c:v>0.96238299999999999</c:v>
                </c:pt>
                <c:pt idx="5">
                  <c:v>0.98702000000000001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853-4A9F-B65B-F7F322D37EEC}"/>
            </c:ext>
          </c:extLst>
        </c:ser>
        <c:ser>
          <c:idx val="3"/>
          <c:order val="3"/>
          <c:tx>
            <c:strRef>
              <c:f>Sheet7!$I$1</c:f>
              <c:strCache>
                <c:ptCount val="1"/>
                <c:pt idx="0">
                  <c:v>single-sized qp40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Sheet7!$A$2:$A$7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Sheet7!$I$2:$I$7</c:f>
              <c:numCache>
                <c:formatCode>General</c:formatCode>
                <c:ptCount val="6"/>
                <c:pt idx="0">
                  <c:v>0.94330700000000001</c:v>
                </c:pt>
                <c:pt idx="1">
                  <c:v>0.92884</c:v>
                </c:pt>
                <c:pt idx="2">
                  <c:v>0.93036700000000006</c:v>
                </c:pt>
                <c:pt idx="3">
                  <c:v>0.93943200000000004</c:v>
                </c:pt>
                <c:pt idx="4">
                  <c:v>0.97466299999999995</c:v>
                </c:pt>
                <c:pt idx="5">
                  <c:v>0.97466299999999995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853-4A9F-B65B-F7F322D37EEC}"/>
            </c:ext>
          </c:extLst>
        </c:ser>
        <c:ser>
          <c:idx val="4"/>
          <c:order val="4"/>
          <c:tx>
            <c:strRef>
              <c:f>Sheet7!$K$1</c:f>
              <c:strCache>
                <c:ptCount val="1"/>
                <c:pt idx="0">
                  <c:v>single-sized qp50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Sheet7!$A$2:$A$7</c:f>
              <c:strCache>
                <c:ptCount val="6"/>
                <c:pt idx="0">
                  <c:v>Traffic</c:v>
                </c:pt>
                <c:pt idx="1">
                  <c:v>PeopleOnStreet</c:v>
                </c:pt>
                <c:pt idx="2">
                  <c:v>ParkScene</c:v>
                </c:pt>
                <c:pt idx="3">
                  <c:v>BasketballDrive</c:v>
                </c:pt>
                <c:pt idx="4">
                  <c:v>Johnny</c:v>
                </c:pt>
                <c:pt idx="5">
                  <c:v>FourPeople</c:v>
                </c:pt>
              </c:strCache>
            </c:strRef>
          </c:cat>
          <c:val>
            <c:numRef>
              <c:f>Sheet7!$K$2:$K$7</c:f>
              <c:numCache>
                <c:formatCode>General</c:formatCode>
                <c:ptCount val="6"/>
                <c:pt idx="0">
                  <c:v>0.89664699999999997</c:v>
                </c:pt>
                <c:pt idx="1">
                  <c:v>0.84405300000000005</c:v>
                </c:pt>
                <c:pt idx="2">
                  <c:v>0.89888699999999999</c:v>
                </c:pt>
                <c:pt idx="3">
                  <c:v>0.89093</c:v>
                </c:pt>
                <c:pt idx="4">
                  <c:v>0.94489100000000004</c:v>
                </c:pt>
                <c:pt idx="5">
                  <c:v>0.89610500000000004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853-4A9F-B65B-F7F322D37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902640"/>
        <c:axId val="455908520"/>
      </c:barChart>
      <c:catAx>
        <c:axId val="45590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908520"/>
        <c:crosses val="autoZero"/>
        <c:auto val="1"/>
        <c:lblAlgn val="ctr"/>
        <c:lblOffset val="100"/>
        <c:noMultiLvlLbl val="0"/>
      </c:catAx>
      <c:valAx>
        <c:axId val="45590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90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63826</xdr:colOff>
      <xdr:row>75</xdr:row>
      <xdr:rowOff>164067</xdr:rowOff>
    </xdr:from>
    <xdr:to>
      <xdr:col>17</xdr:col>
      <xdr:colOff>204373</xdr:colOff>
      <xdr:row>96</xdr:row>
      <xdr:rowOff>11692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391427</xdr:colOff>
      <xdr:row>70</xdr:row>
      <xdr:rowOff>158490</xdr:rowOff>
    </xdr:from>
    <xdr:to>
      <xdr:col>5</xdr:col>
      <xdr:colOff>339418</xdr:colOff>
      <xdr:row>90</xdr:row>
      <xdr:rowOff>168014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787212</xdr:colOff>
      <xdr:row>59</xdr:row>
      <xdr:rowOff>151278</xdr:rowOff>
    </xdr:from>
    <xdr:to>
      <xdr:col>12</xdr:col>
      <xdr:colOff>463364</xdr:colOff>
      <xdr:row>83</xdr:row>
      <xdr:rowOff>30816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1389201</xdr:colOff>
      <xdr:row>53</xdr:row>
      <xdr:rowOff>93593</xdr:rowOff>
    </xdr:from>
    <xdr:to>
      <xdr:col>8</xdr:col>
      <xdr:colOff>697810</xdr:colOff>
      <xdr:row>72</xdr:row>
      <xdr:rowOff>73301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219488</xdr:colOff>
      <xdr:row>42</xdr:row>
      <xdr:rowOff>7455</xdr:rowOff>
    </xdr:from>
    <xdr:to>
      <xdr:col>6</xdr:col>
      <xdr:colOff>443119</xdr:colOff>
      <xdr:row>57</xdr:row>
      <xdr:rowOff>17394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xmlns="" id="{B29DC3B8-1DE7-4DF3-B89A-A2371C04E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675032</xdr:colOff>
      <xdr:row>41</xdr:row>
      <xdr:rowOff>164824</xdr:rowOff>
    </xdr:from>
    <xdr:to>
      <xdr:col>10</xdr:col>
      <xdr:colOff>178075</xdr:colOff>
      <xdr:row>56</xdr:row>
      <xdr:rowOff>174763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xmlns="" id="{AA9F0746-7751-459C-B58E-BEA028D7E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252617</xdr:colOff>
      <xdr:row>42</xdr:row>
      <xdr:rowOff>81997</xdr:rowOff>
    </xdr:from>
    <xdr:to>
      <xdr:col>7</xdr:col>
      <xdr:colOff>679172</xdr:colOff>
      <xdr:row>59</xdr:row>
      <xdr:rowOff>173934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xmlns="" id="{A85D6FC7-19F0-4BC2-AE5D-E3F310861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575640</xdr:colOff>
      <xdr:row>42</xdr:row>
      <xdr:rowOff>106846</xdr:rowOff>
    </xdr:from>
    <xdr:to>
      <xdr:col>11</xdr:col>
      <xdr:colOff>571499</xdr:colOff>
      <xdr:row>60</xdr:row>
      <xdr:rowOff>24848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xmlns="" id="{807EB067-64CB-46D0-84ED-DD6B55D73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244336</xdr:colOff>
      <xdr:row>42</xdr:row>
      <xdr:rowOff>48868</xdr:rowOff>
    </xdr:from>
    <xdr:to>
      <xdr:col>7</xdr:col>
      <xdr:colOff>679174</xdr:colOff>
      <xdr:row>59</xdr:row>
      <xdr:rowOff>157370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xmlns="" id="{D70D2222-176F-489C-B893-DBA737445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492814</xdr:colOff>
      <xdr:row>42</xdr:row>
      <xdr:rowOff>123411</xdr:rowOff>
    </xdr:from>
    <xdr:to>
      <xdr:col>11</xdr:col>
      <xdr:colOff>463826</xdr:colOff>
      <xdr:row>60</xdr:row>
      <xdr:rowOff>33132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xmlns="" id="{A6A59640-C703-44E9-ABD2-3C4F09FC3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492815</xdr:colOff>
      <xdr:row>42</xdr:row>
      <xdr:rowOff>123409</xdr:rowOff>
    </xdr:from>
    <xdr:to>
      <xdr:col>11</xdr:col>
      <xdr:colOff>480390</xdr:colOff>
      <xdr:row>60</xdr:row>
      <xdr:rowOff>24848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xmlns="" id="{8C77F8D7-FFBF-4A7C-B48B-900901425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898661</xdr:colOff>
      <xdr:row>42</xdr:row>
      <xdr:rowOff>94420</xdr:rowOff>
    </xdr:from>
    <xdr:to>
      <xdr:col>16</xdr:col>
      <xdr:colOff>140760</xdr:colOff>
      <xdr:row>60</xdr:row>
      <xdr:rowOff>29075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xmlns="" id="{655C1B58-2840-4AAD-B18D-86A07D5CE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A2" sqref="A2:I2"/>
    </sheetView>
  </sheetViews>
  <sheetFormatPr defaultRowHeight="13.9" x14ac:dyDescent="0.4"/>
  <cols>
    <col min="1" max="1" width="34.86328125" customWidth="1"/>
    <col min="8" max="8" width="13" bestFit="1" customWidth="1"/>
  </cols>
  <sheetData>
    <row r="1" spans="1:9" x14ac:dyDescent="0.4">
      <c r="B1" t="s">
        <v>19</v>
      </c>
      <c r="C1" t="s">
        <v>20</v>
      </c>
      <c r="D1" t="s">
        <v>21</v>
      </c>
      <c r="E1" t="s">
        <v>20</v>
      </c>
      <c r="F1" t="s">
        <v>22</v>
      </c>
      <c r="G1" t="s">
        <v>20</v>
      </c>
      <c r="H1" t="s">
        <v>23</v>
      </c>
      <c r="I1" t="s">
        <v>24</v>
      </c>
    </row>
    <row r="2" spans="1:9" x14ac:dyDescent="0.4">
      <c r="A2" t="s">
        <v>0</v>
      </c>
      <c r="B2">
        <v>423295</v>
      </c>
      <c r="C2">
        <v>388399</v>
      </c>
      <c r="D2">
        <v>5.921E-3</v>
      </c>
      <c r="E2">
        <v>3.9789999999999999E-3</v>
      </c>
      <c r="F2">
        <v>0.99362200000000001</v>
      </c>
      <c r="G2">
        <v>0.99361999999999995</v>
      </c>
      <c r="H2">
        <f>D2/B2*100000</f>
        <v>1.3987880792355213E-3</v>
      </c>
      <c r="I2">
        <f>E2/C2*100000</f>
        <v>1.0244619579350101E-3</v>
      </c>
    </row>
    <row r="3" spans="1:9" x14ac:dyDescent="0.4">
      <c r="A3" t="s">
        <v>1</v>
      </c>
      <c r="B3">
        <v>418388</v>
      </c>
      <c r="D3">
        <v>6.0660000000000002E-3</v>
      </c>
      <c r="F3">
        <v>0.99413499999999999</v>
      </c>
      <c r="H3">
        <f t="shared" ref="H3:H20" si="0">D3/B3*100000</f>
        <v>1.4498503781179193E-3</v>
      </c>
      <c r="I3" t="e">
        <f t="shared" ref="I3:I20" si="1">E3/C3*100000</f>
        <v>#DIV/0!</v>
      </c>
    </row>
    <row r="4" spans="1:9" x14ac:dyDescent="0.4">
      <c r="A4" s="1" t="s">
        <v>2</v>
      </c>
      <c r="B4">
        <v>690645</v>
      </c>
      <c r="C4">
        <v>278658</v>
      </c>
      <c r="D4">
        <v>2.4060000000000002E-3</v>
      </c>
      <c r="E4">
        <v>7.1400000000000001E-4</v>
      </c>
      <c r="F4">
        <v>0.99391600000000002</v>
      </c>
      <c r="G4">
        <v>0.99390400000000001</v>
      </c>
      <c r="H4">
        <f t="shared" si="0"/>
        <v>3.4837000195469452E-4</v>
      </c>
      <c r="I4">
        <f t="shared" si="1"/>
        <v>2.5622806450918331E-4</v>
      </c>
    </row>
    <row r="5" spans="1:9" x14ac:dyDescent="0.4">
      <c r="A5" t="s">
        <v>3</v>
      </c>
      <c r="B5">
        <v>114552</v>
      </c>
      <c r="D5">
        <v>3.0639999999999999E-3</v>
      </c>
      <c r="F5">
        <v>0.99703799999999998</v>
      </c>
      <c r="H5">
        <f t="shared" si="0"/>
        <v>2.6747677910468606E-3</v>
      </c>
      <c r="I5" t="e">
        <f t="shared" si="1"/>
        <v>#DIV/0!</v>
      </c>
    </row>
    <row r="6" spans="1:9" x14ac:dyDescent="0.4">
      <c r="A6" t="s">
        <v>4</v>
      </c>
      <c r="B6">
        <v>422824</v>
      </c>
      <c r="D6">
        <v>3.2750000000000001E-3</v>
      </c>
      <c r="F6">
        <v>0.99390400000000001</v>
      </c>
      <c r="H6">
        <f t="shared" si="0"/>
        <v>7.745539515259304E-4</v>
      </c>
      <c r="I6" t="e">
        <f t="shared" si="1"/>
        <v>#DIV/0!</v>
      </c>
    </row>
    <row r="7" spans="1:9" x14ac:dyDescent="0.4">
      <c r="A7" t="s">
        <v>5</v>
      </c>
      <c r="B7">
        <v>130052</v>
      </c>
      <c r="D7">
        <v>3.0230000000000001E-3</v>
      </c>
      <c r="F7">
        <v>0.99573400000000001</v>
      </c>
      <c r="H7">
        <f t="shared" si="0"/>
        <v>2.3244548334512348E-3</v>
      </c>
      <c r="I7" t="e">
        <f t="shared" si="1"/>
        <v>#DIV/0!</v>
      </c>
    </row>
    <row r="8" spans="1:9" x14ac:dyDescent="0.4">
      <c r="A8" t="s">
        <v>6</v>
      </c>
      <c r="B8">
        <v>996226</v>
      </c>
      <c r="C8">
        <v>585296</v>
      </c>
      <c r="D8">
        <v>1.9469999999999999E-3</v>
      </c>
      <c r="E8">
        <v>7.0100000000000002E-4</v>
      </c>
      <c r="F8">
        <v>0.99583200000000005</v>
      </c>
      <c r="G8">
        <v>0.99582400000000004</v>
      </c>
      <c r="H8">
        <f t="shared" si="0"/>
        <v>1.9543758143232559E-4</v>
      </c>
      <c r="I8">
        <f t="shared" si="1"/>
        <v>1.1976845903611164E-4</v>
      </c>
    </row>
    <row r="9" spans="1:9" x14ac:dyDescent="0.4">
      <c r="A9" t="s">
        <v>7</v>
      </c>
      <c r="B9">
        <v>1593706</v>
      </c>
      <c r="D9">
        <v>1.7160000000000001E-3</v>
      </c>
      <c r="F9">
        <v>0.99309000000000003</v>
      </c>
      <c r="H9">
        <f t="shared" si="0"/>
        <v>1.0767356087007266E-4</v>
      </c>
      <c r="I9" t="e">
        <f t="shared" si="1"/>
        <v>#DIV/0!</v>
      </c>
    </row>
    <row r="10" spans="1:9" x14ac:dyDescent="0.4">
      <c r="A10" t="s">
        <v>8</v>
      </c>
      <c r="B10">
        <v>554547</v>
      </c>
      <c r="D10">
        <v>4.4809999999999997E-3</v>
      </c>
      <c r="F10">
        <v>0.99642600000000003</v>
      </c>
      <c r="H10">
        <f t="shared" si="0"/>
        <v>8.0804692839380604E-4</v>
      </c>
      <c r="I10" t="e">
        <f t="shared" si="1"/>
        <v>#DIV/0!</v>
      </c>
    </row>
    <row r="11" spans="1:9" x14ac:dyDescent="0.4">
      <c r="A11" t="s">
        <v>9</v>
      </c>
      <c r="B11">
        <v>804557</v>
      </c>
      <c r="C11">
        <v>686454</v>
      </c>
      <c r="D11">
        <v>4.4539999999999996E-3</v>
      </c>
      <c r="E11">
        <v>3.6900000000000001E-3</v>
      </c>
      <c r="F11">
        <v>0.99294199999999999</v>
      </c>
      <c r="G11">
        <v>0.99292199999999997</v>
      </c>
      <c r="H11">
        <f t="shared" si="0"/>
        <v>5.5359657550676958E-4</v>
      </c>
      <c r="I11">
        <f t="shared" si="1"/>
        <v>5.375451231983498E-4</v>
      </c>
    </row>
    <row r="12" spans="1:9" x14ac:dyDescent="0.4">
      <c r="A12" s="1" t="s">
        <v>10</v>
      </c>
      <c r="B12">
        <v>682386</v>
      </c>
      <c r="C12">
        <v>576710</v>
      </c>
      <c r="D12">
        <v>5.1320000000000003E-3</v>
      </c>
      <c r="E12">
        <v>3.3909999999999999E-3</v>
      </c>
      <c r="F12">
        <v>0.99146400000000001</v>
      </c>
      <c r="G12">
        <v>0.99130300000000005</v>
      </c>
      <c r="H12">
        <f t="shared" si="0"/>
        <v>7.5206701192580164E-4</v>
      </c>
      <c r="I12">
        <f t="shared" si="1"/>
        <v>5.879904978238629E-4</v>
      </c>
    </row>
    <row r="13" spans="1:9" x14ac:dyDescent="0.4">
      <c r="A13" t="s">
        <v>11</v>
      </c>
      <c r="H13" t="e">
        <f t="shared" si="0"/>
        <v>#DIV/0!</v>
      </c>
      <c r="I13" t="e">
        <f t="shared" si="1"/>
        <v>#DIV/0!</v>
      </c>
    </row>
    <row r="14" spans="1:9" x14ac:dyDescent="0.4">
      <c r="A14" s="1" t="s">
        <v>12</v>
      </c>
      <c r="B14">
        <v>705299</v>
      </c>
      <c r="C14">
        <v>595907</v>
      </c>
      <c r="D14">
        <v>5.5209999999999999E-3</v>
      </c>
      <c r="E14">
        <v>3.5829999999999998E-3</v>
      </c>
      <c r="F14">
        <v>0.99185400000000001</v>
      </c>
      <c r="G14">
        <v>0.99181200000000003</v>
      </c>
      <c r="H14">
        <f t="shared" si="0"/>
        <v>7.8278857619250839E-4</v>
      </c>
      <c r="I14">
        <f t="shared" si="1"/>
        <v>6.012683187141618E-4</v>
      </c>
    </row>
    <row r="15" spans="1:9" x14ac:dyDescent="0.4">
      <c r="A15" s="1" t="s">
        <v>13</v>
      </c>
      <c r="B15">
        <v>742010</v>
      </c>
      <c r="C15">
        <v>652061</v>
      </c>
      <c r="D15">
        <v>1.658E-3</v>
      </c>
      <c r="E15">
        <v>1.124E-3</v>
      </c>
      <c r="F15">
        <v>0.99364600000000003</v>
      </c>
      <c r="G15">
        <v>0.99368299999999998</v>
      </c>
      <c r="H15">
        <f t="shared" si="0"/>
        <v>2.2344712335413267E-4</v>
      </c>
      <c r="I15">
        <f t="shared" si="1"/>
        <v>1.7237651078656752E-4</v>
      </c>
    </row>
    <row r="16" spans="1:9" x14ac:dyDescent="0.4">
      <c r="A16" t="s">
        <v>14</v>
      </c>
      <c r="H16" t="e">
        <f t="shared" si="0"/>
        <v>#DIV/0!</v>
      </c>
      <c r="I16" t="e">
        <f t="shared" si="1"/>
        <v>#DIV/0!</v>
      </c>
    </row>
    <row r="17" spans="1:9" x14ac:dyDescent="0.4">
      <c r="A17" s="1" t="s">
        <v>15</v>
      </c>
      <c r="B17">
        <v>809190</v>
      </c>
      <c r="C17">
        <v>676915</v>
      </c>
      <c r="D17">
        <v>2.366E-3</v>
      </c>
      <c r="E17">
        <v>1.8270000000000001E-3</v>
      </c>
      <c r="F17">
        <v>0.99550000000000005</v>
      </c>
      <c r="G17">
        <v>0.99539999999999995</v>
      </c>
      <c r="H17">
        <f t="shared" si="0"/>
        <v>2.9239115658868746E-4</v>
      </c>
      <c r="I17">
        <f t="shared" si="1"/>
        <v>2.6990094768176211E-4</v>
      </c>
    </row>
    <row r="18" spans="1:9" x14ac:dyDescent="0.4">
      <c r="A18" t="s">
        <v>16</v>
      </c>
      <c r="B18">
        <v>402381</v>
      </c>
      <c r="C18">
        <v>337527</v>
      </c>
      <c r="D18">
        <v>3.3154000000000003E-2</v>
      </c>
      <c r="E18">
        <v>3.0218999999999999E-2</v>
      </c>
      <c r="F18">
        <v>0.98560000000000003</v>
      </c>
      <c r="G18">
        <v>0.99930600000000003</v>
      </c>
      <c r="H18">
        <f t="shared" si="0"/>
        <v>8.2394546462183863E-3</v>
      </c>
      <c r="I18">
        <f t="shared" si="1"/>
        <v>8.9530615328551489E-3</v>
      </c>
    </row>
    <row r="19" spans="1:9" x14ac:dyDescent="0.4">
      <c r="A19" t="s">
        <v>17</v>
      </c>
      <c r="B19">
        <v>253233</v>
      </c>
      <c r="C19">
        <v>201079</v>
      </c>
      <c r="D19">
        <v>1.6247000000000001E-2</v>
      </c>
      <c r="E19">
        <v>1.5834999999999998E-2</v>
      </c>
      <c r="F19">
        <v>0.99939800000000001</v>
      </c>
      <c r="G19">
        <v>0.99935399999999996</v>
      </c>
      <c r="H19">
        <f t="shared" si="0"/>
        <v>6.4158304802296702E-3</v>
      </c>
      <c r="I19">
        <f t="shared" si="1"/>
        <v>7.875014297863029E-3</v>
      </c>
    </row>
    <row r="20" spans="1:9" x14ac:dyDescent="0.4">
      <c r="A20" s="1" t="s">
        <v>25</v>
      </c>
      <c r="B20">
        <v>975138</v>
      </c>
      <c r="C20">
        <v>839925</v>
      </c>
      <c r="D20">
        <v>3.1449999999999998E-3</v>
      </c>
      <c r="E20">
        <v>2.7989999999999998E-3</v>
      </c>
      <c r="F20">
        <v>0.99390000000000001</v>
      </c>
      <c r="G20">
        <v>0.99387300000000001</v>
      </c>
      <c r="H20">
        <f t="shared" si="0"/>
        <v>3.2251845379833419E-4</v>
      </c>
      <c r="I20">
        <f t="shared" si="1"/>
        <v>3.3324403964639696E-4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A6" sqref="A6:I6"/>
    </sheetView>
  </sheetViews>
  <sheetFormatPr defaultRowHeight="13.9" x14ac:dyDescent="0.4"/>
  <cols>
    <col min="1" max="1" width="27.46484375" customWidth="1"/>
  </cols>
  <sheetData>
    <row r="1" spans="1:9" x14ac:dyDescent="0.4">
      <c r="B1" t="s">
        <v>19</v>
      </c>
      <c r="C1" t="s">
        <v>20</v>
      </c>
      <c r="D1" t="s">
        <v>21</v>
      </c>
      <c r="E1" t="s">
        <v>20</v>
      </c>
      <c r="F1" t="s">
        <v>22</v>
      </c>
      <c r="G1" t="s">
        <v>20</v>
      </c>
    </row>
    <row r="2" spans="1:9" x14ac:dyDescent="0.4">
      <c r="A2" t="s">
        <v>0</v>
      </c>
      <c r="B2">
        <v>377019</v>
      </c>
      <c r="C2">
        <v>337038</v>
      </c>
      <c r="D2">
        <v>2.8638E-2</v>
      </c>
      <c r="E2">
        <v>2.1836000000000001E-2</v>
      </c>
      <c r="F2">
        <v>0.83896400000000004</v>
      </c>
      <c r="G2">
        <v>0.98346299999999998</v>
      </c>
      <c r="H2">
        <f>D2/B2*100000</f>
        <v>7.5959036547229722E-3</v>
      </c>
      <c r="I2">
        <f>E2/C2*100000</f>
        <v>6.4787946759712559E-3</v>
      </c>
    </row>
    <row r="3" spans="1:9" x14ac:dyDescent="0.4">
      <c r="A3" t="s">
        <v>1</v>
      </c>
      <c r="B3">
        <v>371718</v>
      </c>
      <c r="D3">
        <v>2.6615E-2</v>
      </c>
      <c r="F3">
        <v>0.83571300000000004</v>
      </c>
      <c r="H3">
        <f t="shared" ref="H3:H20" si="0">D3/B3*100000</f>
        <v>7.1599976326139712E-3</v>
      </c>
      <c r="I3" t="e">
        <f t="shared" ref="I3:I20" si="1">E3/C3*100000</f>
        <v>#DIV/0!</v>
      </c>
    </row>
    <row r="4" spans="1:9" x14ac:dyDescent="0.4">
      <c r="A4" t="s">
        <v>2</v>
      </c>
      <c r="B4">
        <v>522367</v>
      </c>
      <c r="C4">
        <v>145110</v>
      </c>
      <c r="D4">
        <v>7.4139999999999996E-3</v>
      </c>
      <c r="E4">
        <v>2.0230000000000001E-3</v>
      </c>
      <c r="F4">
        <v>0.96777500000000005</v>
      </c>
      <c r="G4">
        <v>0.96771700000000005</v>
      </c>
      <c r="H4">
        <f t="shared" si="0"/>
        <v>1.4193086469857399E-3</v>
      </c>
      <c r="I4">
        <f t="shared" si="1"/>
        <v>1.3941148094548965E-3</v>
      </c>
    </row>
    <row r="5" spans="1:9" x14ac:dyDescent="0.4">
      <c r="A5" t="s">
        <v>3</v>
      </c>
      <c r="B5">
        <v>101680</v>
      </c>
      <c r="D5">
        <v>1.1504E-2</v>
      </c>
      <c r="F5">
        <v>0.98466500000000001</v>
      </c>
      <c r="H5">
        <f t="shared" si="0"/>
        <v>1.1313926042486232E-2</v>
      </c>
      <c r="I5" t="e">
        <f t="shared" si="1"/>
        <v>#DIV/0!</v>
      </c>
    </row>
    <row r="6" spans="1:9" x14ac:dyDescent="0.4">
      <c r="A6" t="s">
        <v>4</v>
      </c>
      <c r="B6">
        <v>325323</v>
      </c>
      <c r="D6">
        <v>1.8235999999999999E-2</v>
      </c>
      <c r="F6">
        <v>0.98640700000000003</v>
      </c>
      <c r="H6">
        <f t="shared" si="0"/>
        <v>5.6055059125853374E-3</v>
      </c>
      <c r="I6" t="e">
        <f t="shared" si="1"/>
        <v>#DIV/0!</v>
      </c>
    </row>
    <row r="7" spans="1:9" x14ac:dyDescent="0.4">
      <c r="A7" t="s">
        <v>5</v>
      </c>
      <c r="B7">
        <v>107704</v>
      </c>
      <c r="D7">
        <v>1.0704999999999999E-2</v>
      </c>
      <c r="F7">
        <v>0.98207999999999995</v>
      </c>
      <c r="H7">
        <f t="shared" si="0"/>
        <v>9.9392780212434074E-3</v>
      </c>
      <c r="I7" t="e">
        <f t="shared" si="1"/>
        <v>#DIV/0!</v>
      </c>
    </row>
    <row r="8" spans="1:9" x14ac:dyDescent="0.4">
      <c r="A8" t="s">
        <v>6</v>
      </c>
      <c r="B8">
        <v>701811</v>
      </c>
      <c r="C8">
        <v>313684</v>
      </c>
      <c r="D8">
        <v>3.5620000000000001E-3</v>
      </c>
      <c r="E8">
        <v>1.276E-3</v>
      </c>
      <c r="F8">
        <v>0.97197999999999996</v>
      </c>
      <c r="G8">
        <v>0.97183699999999995</v>
      </c>
      <c r="H8">
        <f t="shared" si="0"/>
        <v>5.07544053883453E-4</v>
      </c>
      <c r="I8">
        <f t="shared" si="1"/>
        <v>4.0677879649583657E-4</v>
      </c>
    </row>
    <row r="9" spans="1:9" x14ac:dyDescent="0.4">
      <c r="A9" t="s">
        <v>7</v>
      </c>
      <c r="B9">
        <v>735206</v>
      </c>
      <c r="D9">
        <v>3.4910000000000002E-3</v>
      </c>
      <c r="F9">
        <v>0.96792800000000001</v>
      </c>
      <c r="H9">
        <f t="shared" si="0"/>
        <v>4.7483290397521246E-4</v>
      </c>
      <c r="I9" t="e">
        <f t="shared" si="1"/>
        <v>#DIV/0!</v>
      </c>
    </row>
    <row r="10" spans="1:9" x14ac:dyDescent="0.4">
      <c r="A10" t="s">
        <v>8</v>
      </c>
      <c r="B10">
        <v>429303</v>
      </c>
      <c r="D10">
        <v>8.3549999999999996E-3</v>
      </c>
      <c r="F10">
        <v>0.98819800000000002</v>
      </c>
      <c r="H10">
        <f t="shared" si="0"/>
        <v>1.946177874368453E-3</v>
      </c>
      <c r="I10" t="e">
        <f t="shared" si="1"/>
        <v>#DIV/0!</v>
      </c>
    </row>
    <row r="11" spans="1:9" x14ac:dyDescent="0.4">
      <c r="A11" t="s">
        <v>9</v>
      </c>
      <c r="B11">
        <v>459767</v>
      </c>
      <c r="C11">
        <v>371155</v>
      </c>
      <c r="D11">
        <v>2.2682000000000001E-2</v>
      </c>
      <c r="E11">
        <v>1.7623E-2</v>
      </c>
      <c r="F11">
        <v>0.98971200000000004</v>
      </c>
      <c r="G11">
        <v>0.98925600000000002</v>
      </c>
      <c r="H11">
        <f t="shared" si="0"/>
        <v>4.9333684235710693E-3</v>
      </c>
      <c r="I11">
        <f t="shared" si="1"/>
        <v>4.7481510420174858E-3</v>
      </c>
    </row>
    <row r="12" spans="1:9" x14ac:dyDescent="0.4">
      <c r="A12" t="s">
        <v>10</v>
      </c>
      <c r="B12">
        <v>251338</v>
      </c>
      <c r="C12">
        <v>197728</v>
      </c>
      <c r="D12">
        <v>1.5103E-2</v>
      </c>
      <c r="E12">
        <v>1.0847000000000001E-2</v>
      </c>
      <c r="F12">
        <v>0.98877999999999999</v>
      </c>
      <c r="G12">
        <v>0.98984499999999997</v>
      </c>
      <c r="H12">
        <f t="shared" si="0"/>
        <v>6.0090396199540064E-3</v>
      </c>
      <c r="I12">
        <f t="shared" si="1"/>
        <v>5.4858189027350707E-3</v>
      </c>
    </row>
    <row r="13" spans="1:9" x14ac:dyDescent="0.4">
      <c r="A13" t="s">
        <v>11</v>
      </c>
      <c r="H13" t="e">
        <f t="shared" si="0"/>
        <v>#DIV/0!</v>
      </c>
      <c r="I13" t="e">
        <f t="shared" si="1"/>
        <v>#DIV/0!</v>
      </c>
    </row>
    <row r="14" spans="1:9" x14ac:dyDescent="0.4">
      <c r="A14" t="s">
        <v>12</v>
      </c>
      <c r="B14">
        <v>300121</v>
      </c>
      <c r="C14">
        <v>231685</v>
      </c>
      <c r="D14">
        <v>1.9044999999999999E-2</v>
      </c>
      <c r="E14">
        <v>1.2300999999999999E-2</v>
      </c>
      <c r="F14">
        <v>0.98985999999999996</v>
      </c>
      <c r="G14">
        <v>0.99005699999999996</v>
      </c>
      <c r="H14">
        <f t="shared" si="0"/>
        <v>6.3457738712052805E-3</v>
      </c>
      <c r="I14">
        <f t="shared" si="1"/>
        <v>5.3093640071649002E-3</v>
      </c>
    </row>
    <row r="15" spans="1:9" x14ac:dyDescent="0.4">
      <c r="A15" t="s">
        <v>13</v>
      </c>
      <c r="B15">
        <v>419565</v>
      </c>
      <c r="C15">
        <v>358280</v>
      </c>
      <c r="D15">
        <v>8.0239999999999999E-3</v>
      </c>
      <c r="E15">
        <v>7.5940000000000001E-3</v>
      </c>
      <c r="F15">
        <v>0.98108300000000004</v>
      </c>
      <c r="G15">
        <v>0.98065400000000003</v>
      </c>
      <c r="H15">
        <f t="shared" si="0"/>
        <v>1.9124569494595592E-3</v>
      </c>
      <c r="I15">
        <f t="shared" si="1"/>
        <v>2.1195712850284694E-3</v>
      </c>
    </row>
    <row r="16" spans="1:9" x14ac:dyDescent="0.4">
      <c r="A16" t="s">
        <v>14</v>
      </c>
      <c r="H16" t="e">
        <f t="shared" si="0"/>
        <v>#DIV/0!</v>
      </c>
      <c r="I16" t="e">
        <f t="shared" si="1"/>
        <v>#DIV/0!</v>
      </c>
    </row>
    <row r="17" spans="1:9" x14ac:dyDescent="0.4">
      <c r="A17" t="s">
        <v>15</v>
      </c>
      <c r="B17">
        <v>499548</v>
      </c>
      <c r="C17">
        <v>396140</v>
      </c>
      <c r="D17">
        <v>5.7080000000000004E-3</v>
      </c>
      <c r="E17">
        <v>4.372E-3</v>
      </c>
      <c r="F17">
        <v>0.98540700000000003</v>
      </c>
      <c r="G17">
        <v>0.98532699999999995</v>
      </c>
      <c r="H17">
        <f t="shared" si="0"/>
        <v>1.142632940177921E-3</v>
      </c>
      <c r="I17">
        <f t="shared" si="1"/>
        <v>1.1036502246680466E-3</v>
      </c>
    </row>
    <row r="18" spans="1:9" x14ac:dyDescent="0.4">
      <c r="A18" t="s">
        <v>16</v>
      </c>
      <c r="B18">
        <v>345294</v>
      </c>
      <c r="C18">
        <v>288667</v>
      </c>
      <c r="D18">
        <v>3.3202000000000002E-2</v>
      </c>
      <c r="E18">
        <v>2.5246000000000001E-2</v>
      </c>
      <c r="F18">
        <v>0.98483299999999996</v>
      </c>
      <c r="G18">
        <v>0.998803</v>
      </c>
      <c r="H18">
        <f t="shared" si="0"/>
        <v>9.615573974641899E-3</v>
      </c>
      <c r="I18">
        <f t="shared" si="1"/>
        <v>8.7457173836981723E-3</v>
      </c>
    </row>
    <row r="19" spans="1:9" x14ac:dyDescent="0.4">
      <c r="A19" t="s">
        <v>17</v>
      </c>
      <c r="B19">
        <v>182698</v>
      </c>
      <c r="C19">
        <v>136653</v>
      </c>
      <c r="D19">
        <v>1.7167999999999999E-2</v>
      </c>
      <c r="E19">
        <v>1.0793000000000001E-2</v>
      </c>
      <c r="F19">
        <v>0.99826400000000004</v>
      </c>
      <c r="G19">
        <v>0.99819999999999998</v>
      </c>
      <c r="H19">
        <f t="shared" si="0"/>
        <v>9.3969282641298748E-3</v>
      </c>
      <c r="I19">
        <f t="shared" si="1"/>
        <v>7.8981068838591181E-3</v>
      </c>
    </row>
    <row r="20" spans="1:9" x14ac:dyDescent="0.4">
      <c r="A20" t="s">
        <v>18</v>
      </c>
      <c r="B20">
        <v>557316</v>
      </c>
      <c r="C20">
        <v>439749</v>
      </c>
      <c r="D20">
        <v>1.2737999999999999E-2</v>
      </c>
      <c r="E20">
        <v>9.6380000000000007E-3</v>
      </c>
      <c r="F20">
        <v>0.98925300000000005</v>
      </c>
      <c r="G20">
        <v>0.98875299999999999</v>
      </c>
      <c r="H20">
        <f t="shared" si="0"/>
        <v>2.2855973989621687E-3</v>
      </c>
      <c r="I20">
        <f t="shared" si="1"/>
        <v>2.1917048134276603E-3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5" sqref="C5"/>
    </sheetView>
  </sheetViews>
  <sheetFormatPr defaultRowHeight="13.9" x14ac:dyDescent="0.4"/>
  <sheetData>
    <row r="1" spans="1:7" x14ac:dyDescent="0.4">
      <c r="A1" t="s">
        <v>48</v>
      </c>
      <c r="B1">
        <v>357688</v>
      </c>
      <c r="C1">
        <v>3.5414000000000001E-2</v>
      </c>
      <c r="D1">
        <v>0.98155099999999995</v>
      </c>
      <c r="F1">
        <v>11070</v>
      </c>
      <c r="G1">
        <v>1.9</v>
      </c>
    </row>
    <row r="2" spans="1:7" x14ac:dyDescent="0.4">
      <c r="A2" t="s">
        <v>49</v>
      </c>
      <c r="B2">
        <v>313863</v>
      </c>
      <c r="C2">
        <v>2.5534999999999999E-2</v>
      </c>
      <c r="D2">
        <v>0.98609000000000002</v>
      </c>
      <c r="F2">
        <v>16182</v>
      </c>
      <c r="G2">
        <v>1.58</v>
      </c>
    </row>
    <row r="3" spans="1:7" x14ac:dyDescent="0.4">
      <c r="A3">
        <v>1</v>
      </c>
      <c r="B3">
        <v>331941</v>
      </c>
      <c r="C3">
        <v>3.3959000000000003E-2</v>
      </c>
      <c r="D3">
        <v>0.99139900000000003</v>
      </c>
      <c r="F3">
        <v>9534</v>
      </c>
      <c r="G3">
        <v>0.76</v>
      </c>
    </row>
    <row r="4" spans="1:7" x14ac:dyDescent="0.4">
      <c r="A4">
        <v>3</v>
      </c>
      <c r="B4">
        <v>322784</v>
      </c>
      <c r="C4">
        <v>2.5564E-2</v>
      </c>
      <c r="D4">
        <v>0.99294700000000002</v>
      </c>
      <c r="F4">
        <v>8058</v>
      </c>
      <c r="G4">
        <v>0.45</v>
      </c>
    </row>
    <row r="5" spans="1:7" x14ac:dyDescent="0.4">
      <c r="A5">
        <v>4</v>
      </c>
      <c r="B5">
        <v>310289</v>
      </c>
      <c r="C5">
        <v>2.4479999999999998E-2</v>
      </c>
      <c r="D5">
        <v>0.99071699999999996</v>
      </c>
      <c r="F5">
        <v>5502</v>
      </c>
      <c r="G5">
        <v>0.46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B6" sqref="B5:D6"/>
    </sheetView>
  </sheetViews>
  <sheetFormatPr defaultRowHeight="13.9" x14ac:dyDescent="0.4"/>
  <cols>
    <col min="1" max="1" width="27.3984375" customWidth="1"/>
  </cols>
  <sheetData>
    <row r="1" spans="1:9" x14ac:dyDescent="0.4">
      <c r="B1" t="s">
        <v>19</v>
      </c>
      <c r="C1" t="s">
        <v>20</v>
      </c>
      <c r="D1" t="s">
        <v>21</v>
      </c>
      <c r="E1" t="s">
        <v>20</v>
      </c>
      <c r="F1" t="s">
        <v>22</v>
      </c>
      <c r="G1" t="s">
        <v>20</v>
      </c>
    </row>
    <row r="2" spans="1:9" x14ac:dyDescent="0.4">
      <c r="A2" t="s">
        <v>0</v>
      </c>
      <c r="B2">
        <v>219323</v>
      </c>
      <c r="C2">
        <v>165348</v>
      </c>
      <c r="D2">
        <v>5.9855999999999999E-2</v>
      </c>
      <c r="E2">
        <v>3.8043E-2</v>
      </c>
      <c r="F2">
        <v>0.96636599999999995</v>
      </c>
      <c r="G2">
        <v>0.96432200000000001</v>
      </c>
      <c r="H2">
        <f>D2/B2*100000</f>
        <v>2.7291255363094614E-2</v>
      </c>
      <c r="I2">
        <f>E2/C2*100000</f>
        <v>2.3007838014369692E-2</v>
      </c>
    </row>
    <row r="3" spans="1:9" x14ac:dyDescent="0.4">
      <c r="A3" t="s">
        <v>1</v>
      </c>
      <c r="B3">
        <v>229116</v>
      </c>
      <c r="D3">
        <v>5.3303000000000003E-2</v>
      </c>
      <c r="F3">
        <v>0.96879300000000002</v>
      </c>
      <c r="H3">
        <f t="shared" ref="H3:H20" si="0">D3/B3*100000</f>
        <v>2.3264634508284015E-2</v>
      </c>
      <c r="I3" t="e">
        <f t="shared" ref="I3:I20" si="1">E3/C3*100000</f>
        <v>#DIV/0!</v>
      </c>
    </row>
    <row r="4" spans="1:9" x14ac:dyDescent="0.4">
      <c r="A4" t="s">
        <v>2</v>
      </c>
      <c r="B4">
        <v>445689</v>
      </c>
      <c r="C4">
        <v>287885</v>
      </c>
      <c r="D4">
        <v>4.5221999999999998E-2</v>
      </c>
      <c r="E4">
        <v>2.1295000000000001E-2</v>
      </c>
      <c r="F4">
        <v>0.973715</v>
      </c>
      <c r="G4">
        <v>0.97226699999999999</v>
      </c>
      <c r="H4">
        <f t="shared" si="0"/>
        <v>1.0146537159319615E-2</v>
      </c>
      <c r="I4">
        <f t="shared" si="1"/>
        <v>7.3970509057436143E-3</v>
      </c>
    </row>
    <row r="5" spans="1:9" x14ac:dyDescent="0.4">
      <c r="A5" t="s">
        <v>3</v>
      </c>
      <c r="B5">
        <v>79353</v>
      </c>
      <c r="D5">
        <v>3.6643000000000002E-2</v>
      </c>
      <c r="F5">
        <v>0.96465100000000004</v>
      </c>
      <c r="H5">
        <f t="shared" si="0"/>
        <v>4.6177208171083645E-2</v>
      </c>
      <c r="I5" t="e">
        <f t="shared" si="1"/>
        <v>#DIV/0!</v>
      </c>
    </row>
    <row r="6" spans="1:9" x14ac:dyDescent="0.4">
      <c r="A6" t="s">
        <v>4</v>
      </c>
      <c r="B6">
        <v>217862</v>
      </c>
      <c r="D6">
        <v>4.4240000000000002E-2</v>
      </c>
      <c r="F6">
        <v>0.977684</v>
      </c>
      <c r="H6">
        <f t="shared" si="0"/>
        <v>2.0306432512324318E-2</v>
      </c>
      <c r="I6" t="e">
        <f t="shared" si="1"/>
        <v>#DIV/0!</v>
      </c>
    </row>
    <row r="7" spans="1:9" x14ac:dyDescent="0.4">
      <c r="A7" t="s">
        <v>5</v>
      </c>
      <c r="B7">
        <v>83709</v>
      </c>
      <c r="D7">
        <v>3.0086999999999999E-2</v>
      </c>
      <c r="F7">
        <v>0.74904700000000002</v>
      </c>
      <c r="H7">
        <f t="shared" si="0"/>
        <v>3.5942371787979786E-2</v>
      </c>
      <c r="I7" t="e">
        <f t="shared" si="1"/>
        <v>#DIV/0!</v>
      </c>
    </row>
    <row r="8" spans="1:9" x14ac:dyDescent="0.4">
      <c r="A8" t="s">
        <v>6</v>
      </c>
      <c r="B8">
        <v>867823</v>
      </c>
      <c r="C8">
        <v>650545</v>
      </c>
      <c r="D8">
        <v>4.0391999999999997E-2</v>
      </c>
      <c r="E8">
        <v>2.6286E-2</v>
      </c>
      <c r="F8">
        <v>0.97157800000000005</v>
      </c>
      <c r="G8">
        <v>0.96987500000000004</v>
      </c>
      <c r="H8">
        <f t="shared" si="0"/>
        <v>4.6544053338065479E-3</v>
      </c>
      <c r="I8">
        <f t="shared" si="1"/>
        <v>4.0406121021604969E-3</v>
      </c>
    </row>
    <row r="9" spans="1:9" x14ac:dyDescent="0.4">
      <c r="A9" t="s">
        <v>7</v>
      </c>
      <c r="B9">
        <v>577318</v>
      </c>
      <c r="D9">
        <v>3.0946000000000001E-2</v>
      </c>
      <c r="F9">
        <v>0.97688799999999998</v>
      </c>
      <c r="H9">
        <f t="shared" si="0"/>
        <v>5.3603040265503589E-3</v>
      </c>
      <c r="I9" t="e">
        <f t="shared" si="1"/>
        <v>#DIV/0!</v>
      </c>
    </row>
    <row r="10" spans="1:9" x14ac:dyDescent="0.4">
      <c r="A10" t="s">
        <v>8</v>
      </c>
      <c r="B10">
        <v>316868</v>
      </c>
      <c r="D10">
        <v>1.5339999999999999E-2</v>
      </c>
      <c r="F10">
        <v>0.96828999999999998</v>
      </c>
      <c r="H10">
        <f t="shared" si="0"/>
        <v>4.8411325851774236E-3</v>
      </c>
      <c r="I10" t="e">
        <f t="shared" si="1"/>
        <v>#DIV/0!</v>
      </c>
    </row>
    <row r="11" spans="1:9" x14ac:dyDescent="0.4">
      <c r="A11" t="s">
        <v>9</v>
      </c>
      <c r="B11">
        <v>328896</v>
      </c>
      <c r="C11">
        <v>229741</v>
      </c>
      <c r="D11">
        <v>5.4487000000000001E-2</v>
      </c>
      <c r="E11">
        <v>3.8239000000000002E-2</v>
      </c>
      <c r="F11">
        <v>0.98835099999999998</v>
      </c>
      <c r="G11">
        <v>0.98702000000000001</v>
      </c>
      <c r="H11">
        <f t="shared" si="0"/>
        <v>1.656663504572874E-2</v>
      </c>
      <c r="I11">
        <f t="shared" si="1"/>
        <v>1.6644395210258511E-2</v>
      </c>
    </row>
    <row r="12" spans="1:9" x14ac:dyDescent="0.4">
      <c r="A12" t="s">
        <v>10</v>
      </c>
      <c r="B12">
        <v>185027</v>
      </c>
      <c r="C12">
        <v>119581</v>
      </c>
      <c r="D12">
        <v>5.7965999999999997E-2</v>
      </c>
      <c r="E12">
        <v>3.737E-2</v>
      </c>
      <c r="F12">
        <v>0.99016599999999999</v>
      </c>
      <c r="G12">
        <v>0.96238299999999999</v>
      </c>
      <c r="H12">
        <f t="shared" si="0"/>
        <v>3.1328400719894935E-2</v>
      </c>
      <c r="I12">
        <f t="shared" si="1"/>
        <v>3.1250783987422752E-2</v>
      </c>
    </row>
    <row r="13" spans="1:9" x14ac:dyDescent="0.4">
      <c r="A13" t="s">
        <v>11</v>
      </c>
      <c r="H13" t="e">
        <f t="shared" si="0"/>
        <v>#DIV/0!</v>
      </c>
      <c r="I13" t="e">
        <f t="shared" si="1"/>
        <v>#DIV/0!</v>
      </c>
    </row>
    <row r="14" spans="1:9" x14ac:dyDescent="0.4">
      <c r="A14" t="s">
        <v>12</v>
      </c>
      <c r="B14">
        <v>217927</v>
      </c>
      <c r="C14">
        <v>145049</v>
      </c>
      <c r="D14">
        <v>5.0452999999999998E-2</v>
      </c>
      <c r="E14">
        <v>3.0568000000000001E-2</v>
      </c>
      <c r="F14">
        <v>0.989205</v>
      </c>
      <c r="G14">
        <v>0.98872899999999997</v>
      </c>
      <c r="H14">
        <f t="shared" si="0"/>
        <v>2.3151330491403083E-2</v>
      </c>
      <c r="I14">
        <f t="shared" si="1"/>
        <v>2.1074257664651257E-2</v>
      </c>
    </row>
    <row r="15" spans="1:9" x14ac:dyDescent="0.4">
      <c r="A15" t="s">
        <v>13</v>
      </c>
      <c r="B15">
        <v>240369</v>
      </c>
      <c r="C15">
        <v>171898</v>
      </c>
      <c r="D15">
        <v>2.2773000000000002E-2</v>
      </c>
      <c r="E15">
        <v>1.7499000000000001E-2</v>
      </c>
      <c r="F15">
        <v>0.97400399999999998</v>
      </c>
      <c r="G15">
        <v>0.97070000000000001</v>
      </c>
      <c r="H15">
        <f t="shared" si="0"/>
        <v>9.4741834429564551E-3</v>
      </c>
      <c r="I15">
        <f t="shared" si="1"/>
        <v>1.0179874111391639E-2</v>
      </c>
    </row>
    <row r="16" spans="1:9" x14ac:dyDescent="0.4">
      <c r="A16" t="s">
        <v>14</v>
      </c>
      <c r="H16" t="e">
        <f t="shared" si="0"/>
        <v>#DIV/0!</v>
      </c>
      <c r="I16" t="e">
        <f t="shared" si="1"/>
        <v>#DIV/0!</v>
      </c>
    </row>
    <row r="17" spans="1:9" x14ac:dyDescent="0.4">
      <c r="A17" t="s">
        <v>15</v>
      </c>
      <c r="B17">
        <v>377428</v>
      </c>
      <c r="C17">
        <v>259114</v>
      </c>
      <c r="D17">
        <v>1.4031999999999999E-2</v>
      </c>
      <c r="E17">
        <v>1.0368E-2</v>
      </c>
      <c r="F17">
        <v>0.97167300000000001</v>
      </c>
      <c r="G17">
        <v>0.97006700000000001</v>
      </c>
      <c r="H17">
        <f t="shared" si="0"/>
        <v>3.7177951821274523E-3</v>
      </c>
      <c r="I17">
        <f t="shared" si="1"/>
        <v>4.0013276009787197E-3</v>
      </c>
    </row>
    <row r="18" spans="1:9" x14ac:dyDescent="0.4">
      <c r="A18" t="s">
        <v>16</v>
      </c>
      <c r="B18">
        <v>296937</v>
      </c>
      <c r="C18">
        <v>244499</v>
      </c>
      <c r="D18">
        <v>3.4692000000000001E-2</v>
      </c>
      <c r="E18">
        <v>1.9503E-2</v>
      </c>
      <c r="F18">
        <v>0.98164700000000005</v>
      </c>
      <c r="G18">
        <v>0.99544299999999997</v>
      </c>
      <c r="H18">
        <f t="shared" si="0"/>
        <v>1.1683286353670981E-2</v>
      </c>
      <c r="I18">
        <f t="shared" si="1"/>
        <v>7.9767197411850354E-3</v>
      </c>
    </row>
    <row r="19" spans="1:9" x14ac:dyDescent="0.4">
      <c r="A19" t="s">
        <v>17</v>
      </c>
      <c r="B19">
        <v>151613</v>
      </c>
      <c r="C19">
        <v>107207</v>
      </c>
      <c r="D19">
        <v>2.6644999999999999E-2</v>
      </c>
      <c r="E19">
        <v>1.8067E-2</v>
      </c>
      <c r="F19">
        <v>0.99515600000000004</v>
      </c>
      <c r="G19">
        <v>0.99524999999999997</v>
      </c>
      <c r="H19">
        <f t="shared" si="0"/>
        <v>1.7574350484457137E-2</v>
      </c>
      <c r="I19">
        <f t="shared" si="1"/>
        <v>1.685244433665712E-2</v>
      </c>
    </row>
    <row r="20" spans="1:9" x14ac:dyDescent="0.4">
      <c r="A20" t="s">
        <v>18</v>
      </c>
      <c r="B20">
        <v>329568</v>
      </c>
      <c r="C20">
        <v>219407</v>
      </c>
      <c r="D20">
        <v>3.2974999999999997E-2</v>
      </c>
      <c r="E20">
        <v>2.2305999999999999E-2</v>
      </c>
      <c r="F20">
        <v>0.98279300000000003</v>
      </c>
      <c r="G20">
        <v>0.97984700000000002</v>
      </c>
      <c r="H20">
        <f t="shared" si="0"/>
        <v>1.000552238081367E-2</v>
      </c>
      <c r="I20">
        <f t="shared" si="1"/>
        <v>1.0166494232180377E-2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D11" sqref="D11:E11"/>
    </sheetView>
  </sheetViews>
  <sheetFormatPr defaultRowHeight="13.9" x14ac:dyDescent="0.4"/>
  <cols>
    <col min="1" max="1" width="27" customWidth="1"/>
  </cols>
  <sheetData>
    <row r="1" spans="1:9" x14ac:dyDescent="0.4">
      <c r="B1" t="s">
        <v>19</v>
      </c>
      <c r="C1" t="s">
        <v>20</v>
      </c>
      <c r="D1" t="s">
        <v>21</v>
      </c>
      <c r="E1" t="s">
        <v>20</v>
      </c>
      <c r="F1" t="s">
        <v>22</v>
      </c>
      <c r="G1" t="s">
        <v>20</v>
      </c>
    </row>
    <row r="2" spans="1:9" x14ac:dyDescent="0.4">
      <c r="A2" t="s">
        <v>0</v>
      </c>
      <c r="B2">
        <v>87147</v>
      </c>
      <c r="C2">
        <v>41366</v>
      </c>
      <c r="D2">
        <v>8.4512000000000004E-2</v>
      </c>
      <c r="E2">
        <v>3.4770000000000002E-2</v>
      </c>
      <c r="F2">
        <v>0.92005199999999998</v>
      </c>
      <c r="G2">
        <v>0.91309499999999999</v>
      </c>
      <c r="H2">
        <f>D2/B2*100000</f>
        <v>9.6976373254386267E-2</v>
      </c>
      <c r="I2">
        <f>E2/C2*100000</f>
        <v>8.4054537542909646E-2</v>
      </c>
    </row>
    <row r="3" spans="1:9" x14ac:dyDescent="0.4">
      <c r="A3" t="s">
        <v>1</v>
      </c>
      <c r="B3">
        <v>108163</v>
      </c>
      <c r="D3">
        <v>7.9071000000000002E-2</v>
      </c>
      <c r="F3">
        <v>0.79972200000000004</v>
      </c>
      <c r="H3">
        <f t="shared" ref="H3:H20" si="0">D3/B3*100000</f>
        <v>7.3103556669101274E-2</v>
      </c>
      <c r="I3" t="e">
        <f t="shared" ref="I3:I20" si="1">E3/C3*100000</f>
        <v>#DIV/0!</v>
      </c>
    </row>
    <row r="4" spans="1:9" x14ac:dyDescent="0.4">
      <c r="A4" s="1" t="s">
        <v>32</v>
      </c>
      <c r="B4">
        <v>215051</v>
      </c>
      <c r="C4">
        <v>73222</v>
      </c>
      <c r="D4">
        <v>7.0249000000000006E-2</v>
      </c>
      <c r="E4">
        <v>2.4299000000000001E-2</v>
      </c>
      <c r="F4">
        <v>0.94315700000000002</v>
      </c>
      <c r="G4">
        <v>0.93943200000000004</v>
      </c>
      <c r="H4">
        <f t="shared" si="0"/>
        <v>3.2666204760731177E-2</v>
      </c>
      <c r="I4">
        <f t="shared" si="1"/>
        <v>3.3185381442735785E-2</v>
      </c>
    </row>
    <row r="5" spans="1:9" x14ac:dyDescent="0.4">
      <c r="A5" t="s">
        <v>3</v>
      </c>
      <c r="B5">
        <v>39765</v>
      </c>
      <c r="D5">
        <v>7.3830000000000007E-2</v>
      </c>
      <c r="F5">
        <v>0.87102199999999996</v>
      </c>
      <c r="H5">
        <f t="shared" si="0"/>
        <v>0.18566578649566204</v>
      </c>
      <c r="I5" t="e">
        <f t="shared" si="1"/>
        <v>#DIV/0!</v>
      </c>
    </row>
    <row r="6" spans="1:9" x14ac:dyDescent="0.4">
      <c r="A6" t="s">
        <v>4</v>
      </c>
      <c r="B6">
        <v>110017</v>
      </c>
      <c r="D6">
        <v>7.0895E-2</v>
      </c>
      <c r="F6">
        <v>0.58032600000000001</v>
      </c>
      <c r="H6">
        <f t="shared" si="0"/>
        <v>6.4440041084559668E-2</v>
      </c>
      <c r="I6" t="e">
        <f t="shared" si="1"/>
        <v>#DIV/0!</v>
      </c>
    </row>
    <row r="7" spans="1:9" x14ac:dyDescent="0.4">
      <c r="A7" t="s">
        <v>5</v>
      </c>
      <c r="B7">
        <v>57559</v>
      </c>
      <c r="D7">
        <v>7.1361999999999995E-2</v>
      </c>
      <c r="F7">
        <v>0.63256199999999996</v>
      </c>
      <c r="H7">
        <f t="shared" si="0"/>
        <v>0.12398061119894367</v>
      </c>
      <c r="I7" t="e">
        <f t="shared" si="1"/>
        <v>#DIV/0!</v>
      </c>
    </row>
    <row r="8" spans="1:9" x14ac:dyDescent="0.4">
      <c r="A8" t="s">
        <v>6</v>
      </c>
      <c r="B8">
        <v>541880</v>
      </c>
      <c r="C8">
        <v>301784</v>
      </c>
      <c r="D8">
        <v>0.10195799999999999</v>
      </c>
      <c r="E8">
        <v>5.5071000000000002E-2</v>
      </c>
      <c r="F8">
        <v>0.96043000000000001</v>
      </c>
      <c r="G8">
        <v>0.95321400000000001</v>
      </c>
      <c r="H8">
        <f t="shared" si="0"/>
        <v>1.8815604930981028E-2</v>
      </c>
      <c r="I8">
        <f t="shared" si="1"/>
        <v>1.8248482358242984E-2</v>
      </c>
    </row>
    <row r="9" spans="1:9" x14ac:dyDescent="0.4">
      <c r="A9" t="s">
        <v>7</v>
      </c>
      <c r="B9">
        <v>297161</v>
      </c>
      <c r="D9">
        <v>5.1943999999999997E-2</v>
      </c>
      <c r="F9">
        <v>0.945523</v>
      </c>
      <c r="H9">
        <f t="shared" si="0"/>
        <v>1.7480086552407615E-2</v>
      </c>
      <c r="I9" t="e">
        <f t="shared" si="1"/>
        <v>#DIV/0!</v>
      </c>
    </row>
    <row r="10" spans="1:9" x14ac:dyDescent="0.4">
      <c r="A10" t="s">
        <v>8</v>
      </c>
      <c r="B10">
        <v>202200</v>
      </c>
      <c r="D10">
        <v>3.5297000000000002E-2</v>
      </c>
      <c r="F10">
        <v>0.93325800000000003</v>
      </c>
      <c r="H10">
        <f t="shared" si="0"/>
        <v>1.7456478733926806E-2</v>
      </c>
      <c r="I10" t="e">
        <f t="shared" si="1"/>
        <v>#DIV/0!</v>
      </c>
    </row>
    <row r="11" spans="1:9" x14ac:dyDescent="0.4">
      <c r="A11" s="1" t="s">
        <v>36</v>
      </c>
      <c r="B11">
        <v>173580</v>
      </c>
      <c r="C11">
        <v>79865</v>
      </c>
      <c r="D11">
        <v>7.5897000000000006E-2</v>
      </c>
      <c r="E11">
        <v>3.9564000000000002E-2</v>
      </c>
      <c r="F11">
        <v>0.95474499999999995</v>
      </c>
      <c r="G11">
        <v>0.93638600000000005</v>
      </c>
      <c r="H11">
        <f t="shared" si="0"/>
        <v>4.3724507431731771E-2</v>
      </c>
      <c r="I11">
        <f t="shared" si="1"/>
        <v>4.9538596381393601E-2</v>
      </c>
    </row>
    <row r="12" spans="1:9" x14ac:dyDescent="0.4">
      <c r="A12" s="1" t="s">
        <v>34</v>
      </c>
      <c r="B12">
        <v>105433</v>
      </c>
      <c r="C12">
        <v>44005</v>
      </c>
      <c r="D12">
        <v>9.1135999999999995E-2</v>
      </c>
      <c r="E12">
        <v>3.9549000000000001E-2</v>
      </c>
      <c r="F12">
        <v>0.97843800000000003</v>
      </c>
      <c r="G12">
        <v>0.97466299999999995</v>
      </c>
      <c r="H12">
        <f t="shared" si="0"/>
        <v>8.6439729496457465E-2</v>
      </c>
      <c r="I12">
        <f t="shared" si="1"/>
        <v>8.9873877968412688E-2</v>
      </c>
    </row>
    <row r="13" spans="1:9" x14ac:dyDescent="0.4">
      <c r="A13" t="s">
        <v>11</v>
      </c>
      <c r="H13" t="e">
        <f t="shared" si="0"/>
        <v>#DIV/0!</v>
      </c>
      <c r="I13" t="e">
        <f t="shared" si="1"/>
        <v>#DIV/0!</v>
      </c>
    </row>
    <row r="14" spans="1:9" x14ac:dyDescent="0.4">
      <c r="A14" s="1" t="s">
        <v>27</v>
      </c>
      <c r="B14">
        <v>137779</v>
      </c>
      <c r="C14">
        <v>72972</v>
      </c>
      <c r="D14">
        <v>8.5695999999999994E-2</v>
      </c>
      <c r="E14">
        <v>4.5311999999999998E-2</v>
      </c>
      <c r="F14">
        <v>0.96143100000000004</v>
      </c>
      <c r="G14">
        <v>0.94259700000000002</v>
      </c>
      <c r="H14">
        <f t="shared" si="0"/>
        <v>6.2198157919566836E-2</v>
      </c>
      <c r="I14">
        <f t="shared" si="1"/>
        <v>6.2095050156224296E-2</v>
      </c>
    </row>
    <row r="15" spans="1:9" x14ac:dyDescent="0.4">
      <c r="A15" s="1" t="s">
        <v>26</v>
      </c>
      <c r="B15">
        <v>81581</v>
      </c>
      <c r="C15">
        <v>31006</v>
      </c>
      <c r="D15">
        <v>3.4009999999999999E-2</v>
      </c>
      <c r="E15">
        <v>1.6796999999999999E-2</v>
      </c>
      <c r="F15">
        <v>0.94814200000000004</v>
      </c>
      <c r="G15">
        <v>0.93036700000000006</v>
      </c>
      <c r="H15">
        <f t="shared" si="0"/>
        <v>4.168862847967051E-2</v>
      </c>
      <c r="I15">
        <f t="shared" si="1"/>
        <v>5.4173385796297484E-2</v>
      </c>
    </row>
    <row r="16" spans="1:9" x14ac:dyDescent="0.4">
      <c r="A16" t="s">
        <v>14</v>
      </c>
      <c r="H16" t="e">
        <f t="shared" si="0"/>
        <v>#DIV/0!</v>
      </c>
      <c r="I16" t="e">
        <f t="shared" si="1"/>
        <v>#DIV/0!</v>
      </c>
    </row>
    <row r="17" spans="1:9" x14ac:dyDescent="0.4">
      <c r="A17" s="1" t="s">
        <v>29</v>
      </c>
      <c r="B17">
        <v>254517</v>
      </c>
      <c r="C17">
        <v>122208</v>
      </c>
      <c r="D17">
        <v>2.9187999999999999E-2</v>
      </c>
      <c r="E17">
        <v>1.5664000000000001E-2</v>
      </c>
      <c r="F17">
        <v>0.93187299999999995</v>
      </c>
      <c r="G17">
        <v>0.92884</v>
      </c>
      <c r="H17">
        <f t="shared" si="0"/>
        <v>1.1467996243865831E-2</v>
      </c>
      <c r="I17">
        <f t="shared" si="1"/>
        <v>1.2817491489918828E-2</v>
      </c>
    </row>
    <row r="18" spans="1:9" x14ac:dyDescent="0.4">
      <c r="A18" t="s">
        <v>16</v>
      </c>
      <c r="B18">
        <v>254082</v>
      </c>
      <c r="C18">
        <v>199525</v>
      </c>
      <c r="D18">
        <v>5.4906999999999997E-2</v>
      </c>
      <c r="E18">
        <v>3.7725000000000002E-2</v>
      </c>
      <c r="F18">
        <v>0.961067</v>
      </c>
      <c r="G18">
        <v>0.96208700000000003</v>
      </c>
      <c r="H18">
        <f t="shared" si="0"/>
        <v>2.1609952692437873E-2</v>
      </c>
      <c r="I18">
        <f t="shared" si="1"/>
        <v>1.890740508708182E-2</v>
      </c>
    </row>
    <row r="19" spans="1:9" x14ac:dyDescent="0.4">
      <c r="A19" t="s">
        <v>17</v>
      </c>
      <c r="B19">
        <v>121275</v>
      </c>
      <c r="C19">
        <v>77063</v>
      </c>
      <c r="D19">
        <v>5.1894999999999997E-2</v>
      </c>
      <c r="E19">
        <v>2.9812999999999999E-2</v>
      </c>
      <c r="F19">
        <v>0.98648599999999997</v>
      </c>
      <c r="G19">
        <v>0.98692000000000002</v>
      </c>
      <c r="H19">
        <f t="shared" si="0"/>
        <v>4.2791177076891354E-2</v>
      </c>
      <c r="I19">
        <f t="shared" si="1"/>
        <v>3.8686529203379054E-2</v>
      </c>
    </row>
    <row r="20" spans="1:9" x14ac:dyDescent="0.4">
      <c r="A20" s="1" t="s">
        <v>25</v>
      </c>
      <c r="B20">
        <v>155037</v>
      </c>
      <c r="C20">
        <v>60418</v>
      </c>
      <c r="D20">
        <v>5.1982E-2</v>
      </c>
      <c r="E20">
        <v>2.401E-2</v>
      </c>
      <c r="F20">
        <v>0.95773299999999995</v>
      </c>
      <c r="G20">
        <v>0.94330700000000001</v>
      </c>
      <c r="H20">
        <f t="shared" si="0"/>
        <v>3.352877055154576E-2</v>
      </c>
      <c r="I20">
        <f t="shared" si="1"/>
        <v>3.973981263861763E-2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D11" sqref="D11:E11"/>
    </sheetView>
  </sheetViews>
  <sheetFormatPr defaultRowHeight="13.9" x14ac:dyDescent="0.4"/>
  <cols>
    <col min="1" max="1" width="27.46484375" customWidth="1"/>
  </cols>
  <sheetData>
    <row r="1" spans="1:9" x14ac:dyDescent="0.4">
      <c r="B1" t="s">
        <v>19</v>
      </c>
      <c r="C1" t="s">
        <v>20</v>
      </c>
      <c r="D1" t="s">
        <v>21</v>
      </c>
      <c r="E1" t="s">
        <v>20</v>
      </c>
      <c r="F1" t="s">
        <v>22</v>
      </c>
      <c r="G1" t="s">
        <v>20</v>
      </c>
    </row>
    <row r="2" spans="1:9" x14ac:dyDescent="0.4">
      <c r="A2" t="s">
        <v>0</v>
      </c>
      <c r="B2">
        <v>23183</v>
      </c>
      <c r="C2">
        <v>3057</v>
      </c>
      <c r="D2">
        <v>7.8941999999999998E-2</v>
      </c>
      <c r="E2">
        <v>1.3861999999999999E-2</v>
      </c>
      <c r="F2">
        <v>0.73593399999999998</v>
      </c>
      <c r="G2">
        <v>0.72373900000000002</v>
      </c>
      <c r="H2">
        <f>D2/B2*100000</f>
        <v>0.34051675796920156</v>
      </c>
      <c r="I2">
        <f>E2/C2*100000</f>
        <v>0.45345109584560023</v>
      </c>
    </row>
    <row r="3" spans="1:9" x14ac:dyDescent="0.4">
      <c r="A3" t="s">
        <v>1</v>
      </c>
      <c r="B3">
        <v>35225</v>
      </c>
      <c r="D3">
        <v>8.1086000000000005E-2</v>
      </c>
      <c r="F3">
        <v>0.77673700000000001</v>
      </c>
      <c r="H3">
        <f t="shared" ref="H3:H20" si="0">D3/B3*100000</f>
        <v>0.23019446415897801</v>
      </c>
      <c r="I3" t="e">
        <f t="shared" ref="I3:I20" si="1">E3/C3*100000</f>
        <v>#DIV/0!</v>
      </c>
    </row>
    <row r="4" spans="1:9" x14ac:dyDescent="0.4">
      <c r="A4" t="s">
        <v>2</v>
      </c>
      <c r="B4">
        <v>81961</v>
      </c>
      <c r="C4">
        <v>5035</v>
      </c>
      <c r="D4">
        <v>9.0149000000000007E-2</v>
      </c>
      <c r="E4">
        <v>9.665E-3</v>
      </c>
      <c r="F4">
        <v>0.90726899999999999</v>
      </c>
      <c r="G4">
        <v>0.78093000000000001</v>
      </c>
      <c r="H4">
        <f t="shared" si="0"/>
        <v>0.10999011725088763</v>
      </c>
      <c r="I4">
        <f t="shared" si="1"/>
        <v>0.1919563058589871</v>
      </c>
    </row>
    <row r="5" spans="1:9" x14ac:dyDescent="0.4">
      <c r="A5" t="s">
        <v>3</v>
      </c>
      <c r="B5">
        <v>5172</v>
      </c>
      <c r="D5">
        <v>4.0758000000000003E-2</v>
      </c>
      <c r="F5">
        <v>0.83175699999999997</v>
      </c>
      <c r="H5">
        <f t="shared" si="0"/>
        <v>0.78805104408352677</v>
      </c>
      <c r="I5" t="e">
        <f t="shared" si="1"/>
        <v>#DIV/0!</v>
      </c>
    </row>
    <row r="6" spans="1:9" x14ac:dyDescent="0.4">
      <c r="A6" t="s">
        <v>4</v>
      </c>
      <c r="B6">
        <v>28465</v>
      </c>
      <c r="D6">
        <v>6.2255999999999999E-2</v>
      </c>
      <c r="F6">
        <v>0.61153199999999996</v>
      </c>
      <c r="H6">
        <f t="shared" si="0"/>
        <v>0.21871069734761989</v>
      </c>
      <c r="I6" t="e">
        <f t="shared" si="1"/>
        <v>#DIV/0!</v>
      </c>
    </row>
    <row r="7" spans="1:9" x14ac:dyDescent="0.4">
      <c r="A7" t="s">
        <v>5</v>
      </c>
      <c r="B7">
        <v>19421</v>
      </c>
      <c r="D7">
        <v>7.2295999999999999E-2</v>
      </c>
      <c r="F7">
        <v>0.68727300000000002</v>
      </c>
      <c r="H7">
        <f t="shared" si="0"/>
        <v>0.37225683538437776</v>
      </c>
      <c r="I7" t="e">
        <f t="shared" si="1"/>
        <v>#DIV/0!</v>
      </c>
    </row>
    <row r="8" spans="1:9" x14ac:dyDescent="0.4">
      <c r="A8" t="s">
        <v>6</v>
      </c>
      <c r="B8">
        <v>174898</v>
      </c>
      <c r="C8">
        <v>27199</v>
      </c>
      <c r="D8">
        <v>0.12070699999999999</v>
      </c>
      <c r="E8">
        <v>2.2502999999999999E-2</v>
      </c>
      <c r="F8">
        <v>0.92727800000000005</v>
      </c>
      <c r="G8">
        <v>0.91086699999999998</v>
      </c>
      <c r="H8">
        <f t="shared" si="0"/>
        <v>6.9015654838820342E-2</v>
      </c>
      <c r="I8">
        <f t="shared" si="1"/>
        <v>8.2734659362476565E-2</v>
      </c>
    </row>
    <row r="9" spans="1:9" x14ac:dyDescent="0.4">
      <c r="A9" t="s">
        <v>7</v>
      </c>
      <c r="B9">
        <v>91957</v>
      </c>
      <c r="D9">
        <v>6.8890000000000007E-2</v>
      </c>
      <c r="F9">
        <v>0.91569299999999998</v>
      </c>
      <c r="H9">
        <f t="shared" si="0"/>
        <v>7.4915449612318816E-2</v>
      </c>
      <c r="I9" t="e">
        <f t="shared" si="1"/>
        <v>#DIV/0!</v>
      </c>
    </row>
    <row r="10" spans="1:9" x14ac:dyDescent="0.4">
      <c r="A10" t="s">
        <v>8</v>
      </c>
      <c r="B10">
        <v>74161</v>
      </c>
      <c r="D10">
        <v>5.3620000000000001E-2</v>
      </c>
      <c r="F10">
        <v>0.85176600000000002</v>
      </c>
      <c r="H10">
        <f t="shared" si="0"/>
        <v>7.2302153422958162E-2</v>
      </c>
      <c r="I10" t="e">
        <f t="shared" si="1"/>
        <v>#DIV/0!</v>
      </c>
    </row>
    <row r="11" spans="1:9" x14ac:dyDescent="0.4">
      <c r="A11" t="s">
        <v>9</v>
      </c>
      <c r="B11">
        <v>44538</v>
      </c>
      <c r="C11">
        <v>2371</v>
      </c>
      <c r="D11">
        <v>6.9490999999999997E-2</v>
      </c>
      <c r="E11">
        <v>3.356E-3</v>
      </c>
      <c r="F11">
        <v>0.89489799999999997</v>
      </c>
      <c r="G11">
        <v>0.89610500000000004</v>
      </c>
      <c r="H11">
        <f t="shared" si="0"/>
        <v>0.15602631460775068</v>
      </c>
      <c r="I11">
        <f>E11/C11*100000</f>
        <v>0.14154365246731337</v>
      </c>
    </row>
    <row r="12" spans="1:9" x14ac:dyDescent="0.4">
      <c r="A12" t="s">
        <v>10</v>
      </c>
      <c r="B12">
        <v>43872</v>
      </c>
      <c r="C12">
        <v>2298</v>
      </c>
      <c r="D12">
        <v>0.104722</v>
      </c>
      <c r="E12">
        <v>7.5490000000000002E-3</v>
      </c>
      <c r="F12">
        <v>0.943666</v>
      </c>
      <c r="G12">
        <v>0.94489100000000004</v>
      </c>
      <c r="H12">
        <f t="shared" si="0"/>
        <v>0.23869894237782641</v>
      </c>
      <c r="I12">
        <f t="shared" si="1"/>
        <v>0.32850304612706704</v>
      </c>
    </row>
    <row r="13" spans="1:9" x14ac:dyDescent="0.4">
      <c r="A13" t="s">
        <v>11</v>
      </c>
      <c r="H13">
        <f>D13/E11*100000</f>
        <v>0</v>
      </c>
      <c r="I13">
        <f>E13/C11*100000</f>
        <v>0</v>
      </c>
    </row>
    <row r="14" spans="1:9" x14ac:dyDescent="0.4">
      <c r="A14" t="s">
        <v>12</v>
      </c>
      <c r="B14">
        <v>60685</v>
      </c>
      <c r="C14">
        <v>15093</v>
      </c>
      <c r="D14">
        <v>0.105058</v>
      </c>
      <c r="E14">
        <v>2.6460999999999998E-2</v>
      </c>
      <c r="F14">
        <v>0.90860099999999999</v>
      </c>
      <c r="G14">
        <v>0.92763600000000002</v>
      </c>
      <c r="H14">
        <f t="shared" si="0"/>
        <v>0.17312021092526983</v>
      </c>
      <c r="I14">
        <f t="shared" si="1"/>
        <v>0.1753196846220102</v>
      </c>
    </row>
    <row r="15" spans="1:9" x14ac:dyDescent="0.4">
      <c r="A15" t="s">
        <v>13</v>
      </c>
      <c r="B15">
        <v>22990</v>
      </c>
      <c r="C15">
        <v>961</v>
      </c>
      <c r="D15">
        <v>5.1587000000000001E-2</v>
      </c>
      <c r="E15">
        <v>3.271E-3</v>
      </c>
      <c r="F15">
        <v>0.93345800000000001</v>
      </c>
      <c r="G15">
        <v>0.89888699999999999</v>
      </c>
      <c r="H15">
        <f t="shared" si="0"/>
        <v>0.22438886472379296</v>
      </c>
      <c r="I15">
        <f t="shared" si="1"/>
        <v>0.3403746097814776</v>
      </c>
    </row>
    <row r="16" spans="1:9" x14ac:dyDescent="0.4">
      <c r="A16" t="s">
        <v>14</v>
      </c>
      <c r="H16" t="e">
        <f t="shared" si="0"/>
        <v>#DIV/0!</v>
      </c>
      <c r="I16" t="e">
        <f t="shared" si="1"/>
        <v>#DIV/0!</v>
      </c>
    </row>
    <row r="17" spans="1:9" x14ac:dyDescent="0.4">
      <c r="A17" t="s">
        <v>15</v>
      </c>
      <c r="B17">
        <v>89310</v>
      </c>
      <c r="C17">
        <v>6646</v>
      </c>
      <c r="D17">
        <v>4.2115E-2</v>
      </c>
      <c r="E17">
        <v>4.1999999999999997E-3</v>
      </c>
      <c r="F17">
        <v>0.85054700000000005</v>
      </c>
      <c r="G17">
        <v>0.84405300000000005</v>
      </c>
      <c r="H17">
        <f t="shared" si="0"/>
        <v>4.7155973575187547E-2</v>
      </c>
      <c r="I17">
        <f t="shared" si="1"/>
        <v>6.3195907312669275E-2</v>
      </c>
    </row>
    <row r="18" spans="1:9" x14ac:dyDescent="0.4">
      <c r="A18" t="s">
        <v>16</v>
      </c>
      <c r="B18">
        <v>143294</v>
      </c>
      <c r="C18">
        <v>89050</v>
      </c>
      <c r="D18">
        <v>0.100714</v>
      </c>
      <c r="E18">
        <v>6.5563999999999997E-2</v>
      </c>
      <c r="F18">
        <v>0.91012300000000002</v>
      </c>
      <c r="G18">
        <v>0.90214300000000003</v>
      </c>
      <c r="H18">
        <f t="shared" si="0"/>
        <v>7.0284868870992515E-2</v>
      </c>
      <c r="I18">
        <f t="shared" si="1"/>
        <v>7.3626052779337453E-2</v>
      </c>
    </row>
    <row r="19" spans="1:9" x14ac:dyDescent="0.4">
      <c r="A19" t="s">
        <v>17</v>
      </c>
      <c r="B19">
        <v>67796</v>
      </c>
      <c r="C19">
        <v>27286</v>
      </c>
      <c r="D19">
        <v>7.7548000000000006E-2</v>
      </c>
      <c r="E19">
        <v>2.9437999999999999E-2</v>
      </c>
      <c r="F19">
        <v>0.94767999999999997</v>
      </c>
      <c r="G19">
        <v>0.96300200000000002</v>
      </c>
      <c r="H19">
        <f t="shared" si="0"/>
        <v>0.11438432945896515</v>
      </c>
      <c r="I19">
        <f t="shared" si="1"/>
        <v>0.1078868284101737</v>
      </c>
    </row>
    <row r="20" spans="1:9" x14ac:dyDescent="0.4">
      <c r="A20" s="1" t="s">
        <v>18</v>
      </c>
      <c r="B20">
        <v>40681</v>
      </c>
      <c r="C20">
        <v>718</v>
      </c>
      <c r="D20">
        <v>5.9207000000000003E-2</v>
      </c>
      <c r="E20">
        <v>2.5699999999999998E-3</v>
      </c>
      <c r="F20">
        <v>0.93160699999999996</v>
      </c>
      <c r="G20">
        <v>0.89664699999999997</v>
      </c>
      <c r="H20">
        <f t="shared" si="0"/>
        <v>0.1455396868316905</v>
      </c>
      <c r="I20">
        <f t="shared" si="1"/>
        <v>0.35793871866295263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zoomScale="115" zoomScaleNormal="115" workbookViewId="0">
      <selection activeCell="C11" sqref="C11"/>
    </sheetView>
  </sheetViews>
  <sheetFormatPr defaultRowHeight="13.9" x14ac:dyDescent="0.4"/>
  <cols>
    <col min="1" max="1" width="14.3984375" customWidth="1"/>
    <col min="2" max="2" width="17.46484375" customWidth="1"/>
    <col min="3" max="3" width="18.73046875" customWidth="1"/>
    <col min="4" max="4" width="21.3984375" customWidth="1"/>
    <col min="5" max="5" width="15.1328125" customWidth="1"/>
    <col min="6" max="6" width="20.46484375" customWidth="1"/>
    <col min="7" max="7" width="19.1328125" customWidth="1"/>
    <col min="8" max="8" width="16.1328125" customWidth="1"/>
    <col min="9" max="9" width="15.46484375" customWidth="1"/>
    <col min="10" max="10" width="15.73046875" customWidth="1"/>
    <col min="11" max="11" width="15.46484375" customWidth="1"/>
  </cols>
  <sheetData>
    <row r="1" spans="1:11" x14ac:dyDescent="0.4"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46</v>
      </c>
      <c r="I1" t="s">
        <v>44</v>
      </c>
      <c r="J1" t="s">
        <v>47</v>
      </c>
      <c r="K1" t="s">
        <v>45</v>
      </c>
    </row>
    <row r="2" spans="1:11" x14ac:dyDescent="0.4">
      <c r="A2" t="s">
        <v>28</v>
      </c>
      <c r="B2">
        <v>0.99390000000000001</v>
      </c>
      <c r="C2">
        <v>0.99387300000000001</v>
      </c>
      <c r="D2">
        <v>0.98925300000000005</v>
      </c>
      <c r="E2">
        <v>0.98875299999999999</v>
      </c>
      <c r="F2">
        <v>0.98279300000000003</v>
      </c>
      <c r="G2">
        <v>0.97984700000000002</v>
      </c>
      <c r="H2">
        <v>0.95773299999999995</v>
      </c>
      <c r="I2">
        <v>0.94330700000000001</v>
      </c>
      <c r="J2">
        <v>0.93160699999999996</v>
      </c>
      <c r="K2">
        <v>0.89664699999999997</v>
      </c>
    </row>
    <row r="3" spans="1:11" x14ac:dyDescent="0.4">
      <c r="A3" t="s">
        <v>30</v>
      </c>
      <c r="B3">
        <v>0.99550000000000005</v>
      </c>
      <c r="C3">
        <v>0.99539999999999995</v>
      </c>
      <c r="D3">
        <v>0.98540700000000003</v>
      </c>
      <c r="E3">
        <v>0.98532699999999995</v>
      </c>
      <c r="F3">
        <v>0.97167300000000001</v>
      </c>
      <c r="G3">
        <v>0.97006700000000001</v>
      </c>
      <c r="H3">
        <v>0.93187299999999995</v>
      </c>
      <c r="I3">
        <v>0.92884</v>
      </c>
      <c r="J3">
        <v>0.85054700000000005</v>
      </c>
      <c r="K3">
        <v>0.84405300000000005</v>
      </c>
    </row>
    <row r="4" spans="1:11" x14ac:dyDescent="0.4">
      <c r="A4" t="s">
        <v>31</v>
      </c>
      <c r="B4">
        <v>0.99364600000000003</v>
      </c>
      <c r="C4">
        <v>0.99368299999999998</v>
      </c>
      <c r="D4">
        <v>0.98108300000000004</v>
      </c>
      <c r="E4">
        <v>0.98065400000000003</v>
      </c>
      <c r="F4">
        <v>0.97400399999999998</v>
      </c>
      <c r="G4">
        <v>0.97070000000000001</v>
      </c>
      <c r="H4">
        <v>0.94814200000000004</v>
      </c>
      <c r="I4">
        <v>0.93036700000000006</v>
      </c>
      <c r="J4">
        <v>0.93345800000000001</v>
      </c>
      <c r="K4">
        <v>0.89888699999999999</v>
      </c>
    </row>
    <row r="5" spans="1:11" x14ac:dyDescent="0.4">
      <c r="A5" t="s">
        <v>33</v>
      </c>
      <c r="B5">
        <v>0.99391600000000002</v>
      </c>
      <c r="C5">
        <v>0.99390400000000001</v>
      </c>
      <c r="D5">
        <v>0.96777500000000005</v>
      </c>
      <c r="E5">
        <v>0.96771700000000005</v>
      </c>
      <c r="F5">
        <v>0.973715</v>
      </c>
      <c r="G5">
        <v>0.97226699999999999</v>
      </c>
      <c r="H5">
        <v>0.94315700000000002</v>
      </c>
      <c r="I5">
        <v>0.93943200000000004</v>
      </c>
      <c r="J5">
        <v>0.90726899999999999</v>
      </c>
      <c r="K5">
        <v>0.89093</v>
      </c>
    </row>
    <row r="6" spans="1:11" x14ac:dyDescent="0.4">
      <c r="A6" t="s">
        <v>35</v>
      </c>
      <c r="B6">
        <v>0.99146400000000001</v>
      </c>
      <c r="C6">
        <v>0.99130300000000005</v>
      </c>
      <c r="D6">
        <v>0.98877999999999999</v>
      </c>
      <c r="E6">
        <v>0.98984499999999997</v>
      </c>
      <c r="F6">
        <v>0.99016599999999999</v>
      </c>
      <c r="G6">
        <v>0.96238299999999999</v>
      </c>
      <c r="H6">
        <v>0.97843800000000003</v>
      </c>
      <c r="I6">
        <v>0.97466299999999995</v>
      </c>
      <c r="J6">
        <v>0.94466600000000001</v>
      </c>
      <c r="K6">
        <v>0.94489100000000004</v>
      </c>
    </row>
    <row r="7" spans="1:11" x14ac:dyDescent="0.4">
      <c r="A7" t="s">
        <v>37</v>
      </c>
      <c r="B7">
        <v>0.99294199999999999</v>
      </c>
      <c r="C7">
        <v>0.99292199999999997</v>
      </c>
      <c r="D7">
        <v>0.98971200000000004</v>
      </c>
      <c r="E7">
        <v>0.98925600000000002</v>
      </c>
      <c r="F7">
        <v>0.98835099999999998</v>
      </c>
      <c r="G7">
        <v>0.98702000000000001</v>
      </c>
      <c r="H7">
        <v>0.97843800000000003</v>
      </c>
      <c r="I7">
        <v>0.97466299999999995</v>
      </c>
      <c r="J7">
        <v>0.90489799999999998</v>
      </c>
      <c r="K7">
        <v>0.89610500000000004</v>
      </c>
    </row>
    <row r="8" spans="1:11" x14ac:dyDescent="0.4">
      <c r="B8">
        <f>SUM(B2:B7)/6</f>
        <v>0.99356133333333341</v>
      </c>
      <c r="C8">
        <f t="shared" ref="C8:K8" si="0">SUM(C2:C7)/6</f>
        <v>0.99351416666666659</v>
      </c>
      <c r="D8">
        <f t="shared" si="0"/>
        <v>0.98366833333333326</v>
      </c>
      <c r="E8">
        <f t="shared" si="0"/>
        <v>0.98359199999999991</v>
      </c>
      <c r="F8">
        <f t="shared" si="0"/>
        <v>0.9801169999999999</v>
      </c>
      <c r="G8">
        <f t="shared" si="0"/>
        <v>0.97371400000000008</v>
      </c>
      <c r="H8">
        <f t="shared" si="0"/>
        <v>0.95629683333333315</v>
      </c>
      <c r="I8">
        <f t="shared" si="0"/>
        <v>0.94854533333333324</v>
      </c>
      <c r="J8">
        <f t="shared" si="0"/>
        <v>0.91207416666666674</v>
      </c>
      <c r="K8">
        <f t="shared" si="0"/>
        <v>0.89525216666666674</v>
      </c>
    </row>
    <row r="9" spans="1:11" x14ac:dyDescent="0.4">
      <c r="B9">
        <f>B8/C8</f>
        <v>1.000047474578873</v>
      </c>
      <c r="C9">
        <f t="shared" ref="C9:K9" si="1">C8/D8</f>
        <v>1.0100093019157881</v>
      </c>
      <c r="D9">
        <f t="shared" si="1"/>
        <v>1.0000776067041348</v>
      </c>
      <c r="E9">
        <f t="shared" si="1"/>
        <v>1.0035454950786489</v>
      </c>
      <c r="F9">
        <f t="shared" si="1"/>
        <v>1.0065758528685012</v>
      </c>
      <c r="G9">
        <f t="shared" si="1"/>
        <v>1.0182131384937838</v>
      </c>
      <c r="H9">
        <f t="shared" si="1"/>
        <v>1.0081719868598793</v>
      </c>
      <c r="I9">
        <f t="shared" si="1"/>
        <v>1.0399870624556298</v>
      </c>
      <c r="J9">
        <f t="shared" si="1"/>
        <v>1.0187902365683561</v>
      </c>
      <c r="K9" t="e">
        <f t="shared" si="1"/>
        <v>#DIV/0!</v>
      </c>
    </row>
    <row r="10" spans="1:11" x14ac:dyDescent="0.4">
      <c r="B10">
        <f>B9+D9+F9+H9+J9</f>
        <v>5.0336631575797437</v>
      </c>
      <c r="C10">
        <f>B10/5</f>
        <v>1.0067326315159488</v>
      </c>
    </row>
    <row r="11" spans="1:11" x14ac:dyDescent="0.4"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46</v>
      </c>
      <c r="I11" t="s">
        <v>44</v>
      </c>
      <c r="J11" t="s">
        <v>47</v>
      </c>
      <c r="K11" t="s">
        <v>45</v>
      </c>
    </row>
    <row r="12" spans="1:11" x14ac:dyDescent="0.4">
      <c r="A12" t="s">
        <v>28</v>
      </c>
      <c r="B12">
        <v>975138</v>
      </c>
      <c r="C12">
        <v>839925</v>
      </c>
      <c r="D12">
        <v>557316</v>
      </c>
      <c r="E12">
        <v>439749</v>
      </c>
      <c r="F12">
        <v>329568</v>
      </c>
      <c r="G12">
        <v>219407</v>
      </c>
      <c r="H12">
        <v>155037</v>
      </c>
      <c r="I12">
        <v>60418</v>
      </c>
      <c r="J12">
        <v>40681</v>
      </c>
      <c r="K12">
        <v>718</v>
      </c>
    </row>
    <row r="13" spans="1:11" x14ac:dyDescent="0.4">
      <c r="A13" t="s">
        <v>30</v>
      </c>
      <c r="B13">
        <v>809190</v>
      </c>
      <c r="C13">
        <v>676915</v>
      </c>
      <c r="D13">
        <v>499548</v>
      </c>
      <c r="E13">
        <v>396140</v>
      </c>
      <c r="F13">
        <v>377428</v>
      </c>
      <c r="G13">
        <v>259114</v>
      </c>
      <c r="H13">
        <v>254517</v>
      </c>
      <c r="I13">
        <v>122208</v>
      </c>
      <c r="J13">
        <v>89310</v>
      </c>
      <c r="K13">
        <v>6646</v>
      </c>
    </row>
    <row r="14" spans="1:11" x14ac:dyDescent="0.4">
      <c r="A14" t="s">
        <v>31</v>
      </c>
      <c r="B14">
        <v>742010</v>
      </c>
      <c r="C14">
        <v>652061</v>
      </c>
      <c r="D14">
        <v>419565</v>
      </c>
      <c r="E14">
        <v>358280</v>
      </c>
      <c r="F14">
        <v>240369</v>
      </c>
      <c r="G14">
        <v>171898</v>
      </c>
      <c r="H14">
        <v>81581</v>
      </c>
      <c r="I14">
        <v>31006</v>
      </c>
      <c r="J14">
        <v>22990</v>
      </c>
      <c r="K14">
        <v>961</v>
      </c>
    </row>
    <row r="15" spans="1:11" x14ac:dyDescent="0.4">
      <c r="A15" t="s">
        <v>33</v>
      </c>
      <c r="B15">
        <v>690645</v>
      </c>
      <c r="C15">
        <v>278658</v>
      </c>
      <c r="D15">
        <v>522367</v>
      </c>
      <c r="E15">
        <v>145110</v>
      </c>
      <c r="F15">
        <v>445689</v>
      </c>
      <c r="G15">
        <v>287885</v>
      </c>
      <c r="H15">
        <v>215051</v>
      </c>
      <c r="I15">
        <v>73222</v>
      </c>
      <c r="J15">
        <v>81961</v>
      </c>
      <c r="K15">
        <v>5035</v>
      </c>
    </row>
    <row r="16" spans="1:11" x14ac:dyDescent="0.4">
      <c r="A16" t="s">
        <v>35</v>
      </c>
      <c r="B16">
        <v>682386</v>
      </c>
      <c r="C16">
        <v>576710</v>
      </c>
      <c r="D16">
        <v>251338</v>
      </c>
      <c r="E16">
        <v>197728</v>
      </c>
      <c r="F16">
        <v>185027</v>
      </c>
      <c r="G16">
        <v>119581</v>
      </c>
      <c r="H16">
        <v>105433</v>
      </c>
      <c r="I16">
        <v>44005</v>
      </c>
      <c r="J16">
        <v>43872</v>
      </c>
      <c r="K16">
        <v>2298</v>
      </c>
    </row>
    <row r="17" spans="1:11" x14ac:dyDescent="0.4">
      <c r="A17" t="s">
        <v>37</v>
      </c>
      <c r="B17">
        <v>804557</v>
      </c>
      <c r="C17">
        <v>686454</v>
      </c>
      <c r="D17">
        <v>459767</v>
      </c>
      <c r="E17">
        <v>371155</v>
      </c>
      <c r="F17">
        <v>328896</v>
      </c>
      <c r="G17">
        <v>229741</v>
      </c>
      <c r="H17">
        <v>173580</v>
      </c>
      <c r="I17">
        <v>79865</v>
      </c>
      <c r="J17">
        <v>44538</v>
      </c>
      <c r="K17">
        <v>2371</v>
      </c>
    </row>
    <row r="18" spans="1:11" x14ac:dyDescent="0.4">
      <c r="B18">
        <f>SUM(B12:B17)</f>
        <v>4703926</v>
      </c>
      <c r="C18">
        <f t="shared" ref="C18:K18" si="2">SUM(C12:C17)</f>
        <v>3710723</v>
      </c>
      <c r="D18">
        <f t="shared" si="2"/>
        <v>2709901</v>
      </c>
      <c r="E18">
        <f t="shared" si="2"/>
        <v>1908162</v>
      </c>
      <c r="F18">
        <f t="shared" si="2"/>
        <v>1906977</v>
      </c>
      <c r="G18">
        <f t="shared" si="2"/>
        <v>1287626</v>
      </c>
      <c r="H18">
        <f t="shared" si="2"/>
        <v>985199</v>
      </c>
      <c r="I18">
        <f t="shared" si="2"/>
        <v>410724</v>
      </c>
      <c r="J18">
        <f t="shared" si="2"/>
        <v>323352</v>
      </c>
      <c r="K18">
        <f t="shared" si="2"/>
        <v>18029</v>
      </c>
    </row>
    <row r="19" spans="1:11" x14ac:dyDescent="0.4">
      <c r="B19">
        <f>B18/6</f>
        <v>783987.66666666663</v>
      </c>
      <c r="C19">
        <f t="shared" ref="C19:K19" si="3">C18/6</f>
        <v>618453.83333333337</v>
      </c>
      <c r="D19">
        <f t="shared" si="3"/>
        <v>451650.16666666669</v>
      </c>
      <c r="E19">
        <f t="shared" si="3"/>
        <v>318027</v>
      </c>
      <c r="F19">
        <f t="shared" si="3"/>
        <v>317829.5</v>
      </c>
      <c r="G19">
        <f t="shared" si="3"/>
        <v>214604.33333333334</v>
      </c>
      <c r="H19">
        <f t="shared" si="3"/>
        <v>164199.83333333334</v>
      </c>
      <c r="I19">
        <f t="shared" si="3"/>
        <v>68454</v>
      </c>
      <c r="J19">
        <f t="shared" si="3"/>
        <v>53892</v>
      </c>
      <c r="K19">
        <f t="shared" si="3"/>
        <v>3004.8333333333335</v>
      </c>
    </row>
    <row r="20" spans="1:11" x14ac:dyDescent="0.4">
      <c r="B20">
        <f>B19/C19</f>
        <v>1.2676575427484076</v>
      </c>
      <c r="C20">
        <f t="shared" ref="C20:K20" si="4">C19/D19</f>
        <v>1.3693205028523183</v>
      </c>
      <c r="D20">
        <f>D19/E19</f>
        <v>1.4201629631027135</v>
      </c>
      <c r="E20">
        <f t="shared" si="4"/>
        <v>1.0006214023556654</v>
      </c>
      <c r="F20">
        <f t="shared" si="4"/>
        <v>1.4810022475470361</v>
      </c>
      <c r="G20">
        <f t="shared" si="4"/>
        <v>1.3069704699253653</v>
      </c>
      <c r="H20">
        <f t="shared" si="4"/>
        <v>2.398688657103067</v>
      </c>
      <c r="I20">
        <f t="shared" si="4"/>
        <v>1.2702070808283232</v>
      </c>
      <c r="J20">
        <f t="shared" si="4"/>
        <v>17.935104553774472</v>
      </c>
      <c r="K20" t="e">
        <f t="shared" si="4"/>
        <v>#DIV/0!</v>
      </c>
    </row>
    <row r="21" spans="1:11" x14ac:dyDescent="0.4">
      <c r="B21">
        <f>B20+D20+F20+H20+J20</f>
        <v>24.502615964275698</v>
      </c>
      <c r="C21">
        <f>B21/5</f>
        <v>4.9005231928551396</v>
      </c>
    </row>
    <row r="22" spans="1:11" x14ac:dyDescent="0.4"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43</v>
      </c>
      <c r="H22" t="s">
        <v>46</v>
      </c>
      <c r="I22" t="s">
        <v>44</v>
      </c>
      <c r="J22" t="s">
        <v>47</v>
      </c>
      <c r="K22" t="s">
        <v>45</v>
      </c>
    </row>
    <row r="23" spans="1:11" x14ac:dyDescent="0.4">
      <c r="A23" t="s">
        <v>28</v>
      </c>
      <c r="B23">
        <v>3.1449999999999998E-3</v>
      </c>
      <c r="C23">
        <v>2.7989999999999998E-3</v>
      </c>
      <c r="D23">
        <v>1.2737999999999999E-2</v>
      </c>
      <c r="E23">
        <v>9.6380000000000007E-3</v>
      </c>
      <c r="F23">
        <v>3.2974999999999997E-2</v>
      </c>
      <c r="G23">
        <v>2.2305999999999999E-2</v>
      </c>
      <c r="H23">
        <v>5.1982E-2</v>
      </c>
      <c r="I23">
        <v>2.401E-2</v>
      </c>
      <c r="J23">
        <v>5.9207000000000003E-2</v>
      </c>
      <c r="K23">
        <v>2.5699999999999998E-3</v>
      </c>
    </row>
    <row r="24" spans="1:11" x14ac:dyDescent="0.4">
      <c r="A24" t="s">
        <v>30</v>
      </c>
      <c r="B24">
        <v>2.366E-3</v>
      </c>
      <c r="C24">
        <v>1.8270000000000001E-3</v>
      </c>
      <c r="D24">
        <v>5.7080000000000004E-3</v>
      </c>
      <c r="E24">
        <v>4.372E-3</v>
      </c>
      <c r="F24">
        <v>1.4031999999999999E-2</v>
      </c>
      <c r="G24">
        <v>1.0368E-2</v>
      </c>
      <c r="H24">
        <v>2.9187999999999999E-2</v>
      </c>
      <c r="I24">
        <v>1.5664000000000001E-2</v>
      </c>
      <c r="J24">
        <v>4.2115E-2</v>
      </c>
      <c r="K24">
        <v>4.1999999999999997E-3</v>
      </c>
    </row>
    <row r="25" spans="1:11" x14ac:dyDescent="0.4">
      <c r="A25" t="s">
        <v>31</v>
      </c>
      <c r="B25">
        <v>1.658E-3</v>
      </c>
      <c r="C25">
        <v>1.124E-3</v>
      </c>
      <c r="D25">
        <v>8.0239999999999999E-3</v>
      </c>
      <c r="E25">
        <v>7.5940000000000001E-3</v>
      </c>
      <c r="F25">
        <v>2.2773000000000002E-2</v>
      </c>
      <c r="G25">
        <v>1.7499000000000001E-2</v>
      </c>
      <c r="H25">
        <v>3.4009999999999999E-2</v>
      </c>
      <c r="I25">
        <v>1.6796999999999999E-2</v>
      </c>
      <c r="J25">
        <v>5.1587000000000001E-2</v>
      </c>
      <c r="K25">
        <v>3.271E-3</v>
      </c>
    </row>
    <row r="26" spans="1:11" x14ac:dyDescent="0.4">
      <c r="A26" t="s">
        <v>33</v>
      </c>
      <c r="B26">
        <v>2.4060000000000002E-3</v>
      </c>
      <c r="C26">
        <v>7.1400000000000001E-4</v>
      </c>
      <c r="D26">
        <v>7.4139999999999996E-3</v>
      </c>
      <c r="E26">
        <v>2.0230000000000001E-3</v>
      </c>
      <c r="F26">
        <v>4.5221999999999998E-2</v>
      </c>
      <c r="G26">
        <v>2.1295000000000001E-2</v>
      </c>
      <c r="H26">
        <v>7.0249000000000006E-2</v>
      </c>
      <c r="I26">
        <v>2.4299000000000001E-2</v>
      </c>
      <c r="J26">
        <v>9.0149000000000007E-2</v>
      </c>
      <c r="K26">
        <v>9.665E-3</v>
      </c>
    </row>
    <row r="27" spans="1:11" x14ac:dyDescent="0.4">
      <c r="A27" t="s">
        <v>35</v>
      </c>
      <c r="B27">
        <v>5.1320000000000003E-3</v>
      </c>
      <c r="C27">
        <v>3.3909999999999999E-3</v>
      </c>
      <c r="D27">
        <v>1.5103E-2</v>
      </c>
      <c r="E27">
        <v>1.1847E-2</v>
      </c>
      <c r="F27">
        <v>5.7965999999999997E-2</v>
      </c>
      <c r="G27">
        <v>3.737E-2</v>
      </c>
      <c r="H27">
        <v>9.1135999999999995E-2</v>
      </c>
      <c r="I27">
        <v>3.9549000000000001E-2</v>
      </c>
      <c r="J27">
        <v>0.104722</v>
      </c>
      <c r="K27">
        <v>7.5490000000000002E-3</v>
      </c>
    </row>
    <row r="28" spans="1:11" x14ac:dyDescent="0.4">
      <c r="A28" t="s">
        <v>37</v>
      </c>
      <c r="B28">
        <v>4.4539999999999996E-3</v>
      </c>
      <c r="C28">
        <v>3.6900000000000001E-3</v>
      </c>
      <c r="D28">
        <v>2.2682000000000001E-2</v>
      </c>
      <c r="E28">
        <v>1.7623E-2</v>
      </c>
      <c r="F28">
        <v>5.4487000000000001E-2</v>
      </c>
      <c r="G28">
        <v>3.8239000000000002E-2</v>
      </c>
      <c r="H28">
        <v>7.5897000000000006E-2</v>
      </c>
      <c r="I28">
        <v>3.9564000000000002E-2</v>
      </c>
      <c r="J28">
        <v>6.5490999999999994E-2</v>
      </c>
      <c r="K28">
        <v>3.5560000000000001E-3</v>
      </c>
    </row>
    <row r="29" spans="1:11" x14ac:dyDescent="0.4">
      <c r="B29">
        <f>SUM(B23:B28)/6</f>
        <v>3.1935000000000002E-3</v>
      </c>
      <c r="C29">
        <f t="shared" ref="C29:K29" si="5">SUM(C23:C28)</f>
        <v>1.3545E-2</v>
      </c>
      <c r="D29">
        <f>SUM(D23:D28)/6</f>
        <v>1.1944833333333333E-2</v>
      </c>
      <c r="E29">
        <f t="shared" si="5"/>
        <v>5.3097000000000005E-2</v>
      </c>
      <c r="F29">
        <f>SUM(F23:F28)/6</f>
        <v>3.7909166666666667E-2</v>
      </c>
      <c r="G29">
        <f t="shared" si="5"/>
        <v>0.14707700000000001</v>
      </c>
      <c r="H29">
        <f>SUM(H23:H28)/6</f>
        <v>5.8743666666666666E-2</v>
      </c>
      <c r="I29">
        <f t="shared" si="5"/>
        <v>0.159883</v>
      </c>
      <c r="J29">
        <f>SUM(J23:J28)/6</f>
        <v>6.8878499999999995E-2</v>
      </c>
      <c r="K29">
        <f t="shared" si="5"/>
        <v>3.0811000000000002E-2</v>
      </c>
    </row>
    <row r="30" spans="1:11" x14ac:dyDescent="0.4">
      <c r="B30">
        <f>B29/C29</f>
        <v>0.23576965669988928</v>
      </c>
      <c r="C30">
        <f t="shared" ref="C30:K30" si="6">C29/D29</f>
        <v>1.133963080271805</v>
      </c>
      <c r="D30">
        <f t="shared" si="6"/>
        <v>0.22496249003396299</v>
      </c>
      <c r="E30">
        <f t="shared" si="6"/>
        <v>1.4006374887340354</v>
      </c>
      <c r="F30">
        <f t="shared" si="6"/>
        <v>0.25775047537457701</v>
      </c>
      <c r="G30">
        <f t="shared" si="6"/>
        <v>2.5037082011677856</v>
      </c>
      <c r="H30">
        <f t="shared" si="6"/>
        <v>0.36741659004813937</v>
      </c>
      <c r="I30">
        <f t="shared" si="6"/>
        <v>2.3212323148732916</v>
      </c>
      <c r="J30">
        <f t="shared" si="6"/>
        <v>2.23551653630197</v>
      </c>
      <c r="K30" t="e">
        <f t="shared" si="6"/>
        <v>#DIV/0!</v>
      </c>
    </row>
    <row r="31" spans="1:11" x14ac:dyDescent="0.4">
      <c r="B31">
        <f>B30+D30+F30+H30+J30</f>
        <v>3.3214157484585387</v>
      </c>
      <c r="C31">
        <f>B31/5</f>
        <v>0.66428314969170776</v>
      </c>
    </row>
    <row r="33" spans="1:11" x14ac:dyDescent="0.4">
      <c r="B33" t="s">
        <v>38</v>
      </c>
      <c r="C33" t="s">
        <v>39</v>
      </c>
      <c r="D33" t="s">
        <v>40</v>
      </c>
      <c r="E33" t="s">
        <v>41</v>
      </c>
      <c r="F33" t="s">
        <v>42</v>
      </c>
      <c r="G33" t="s">
        <v>43</v>
      </c>
      <c r="H33" t="s">
        <v>46</v>
      </c>
      <c r="I33" t="s">
        <v>44</v>
      </c>
      <c r="J33" t="s">
        <v>47</v>
      </c>
      <c r="K33" t="s">
        <v>45</v>
      </c>
    </row>
    <row r="34" spans="1:11" x14ac:dyDescent="0.4">
      <c r="A34" t="s">
        <v>28</v>
      </c>
      <c r="B34">
        <f>B23/B12*100000</f>
        <v>3.2251845379833419E-4</v>
      </c>
      <c r="C34">
        <f t="shared" ref="C34:K34" si="7">C23/C12*100000</f>
        <v>3.3324403964639696E-4</v>
      </c>
      <c r="D34">
        <f t="shared" si="7"/>
        <v>2.2855973989621687E-3</v>
      </c>
      <c r="E34">
        <f t="shared" si="7"/>
        <v>2.1917048134276603E-3</v>
      </c>
      <c r="F34">
        <f t="shared" si="7"/>
        <v>1.000552238081367E-2</v>
      </c>
      <c r="G34">
        <f t="shared" si="7"/>
        <v>1.0166494232180377E-2</v>
      </c>
      <c r="H34">
        <f t="shared" si="7"/>
        <v>3.352877055154576E-2</v>
      </c>
      <c r="I34">
        <f t="shared" si="7"/>
        <v>3.973981263861763E-2</v>
      </c>
      <c r="J34">
        <f t="shared" si="7"/>
        <v>0.1455396868316905</v>
      </c>
      <c r="K34">
        <f t="shared" si="7"/>
        <v>0.35793871866295263</v>
      </c>
    </row>
    <row r="35" spans="1:11" x14ac:dyDescent="0.4">
      <c r="A35" t="s">
        <v>30</v>
      </c>
      <c r="B35">
        <f>B24/B13*100000</f>
        <v>2.9239115658868746E-4</v>
      </c>
      <c r="C35">
        <f t="shared" ref="C35:K35" si="8">C24/C13*100000</f>
        <v>2.6990094768176211E-4</v>
      </c>
      <c r="D35">
        <f t="shared" si="8"/>
        <v>1.142632940177921E-3</v>
      </c>
      <c r="E35">
        <f t="shared" si="8"/>
        <v>1.1036502246680466E-3</v>
      </c>
      <c r="F35">
        <f t="shared" si="8"/>
        <v>3.7177951821274523E-3</v>
      </c>
      <c r="G35">
        <f t="shared" si="8"/>
        <v>4.0013276009787197E-3</v>
      </c>
      <c r="H35">
        <f t="shared" si="8"/>
        <v>1.1467996243865831E-2</v>
      </c>
      <c r="I35">
        <f t="shared" si="8"/>
        <v>1.2817491489918828E-2</v>
      </c>
      <c r="J35">
        <f t="shared" si="8"/>
        <v>4.7155973575187547E-2</v>
      </c>
      <c r="K35">
        <f t="shared" si="8"/>
        <v>6.3195907312669275E-2</v>
      </c>
    </row>
    <row r="36" spans="1:11" x14ac:dyDescent="0.4">
      <c r="A36" t="s">
        <v>31</v>
      </c>
      <c r="B36">
        <f t="shared" ref="B36:K36" si="9">B25/B14*100000</f>
        <v>2.2344712335413267E-4</v>
      </c>
      <c r="C36">
        <f t="shared" si="9"/>
        <v>1.7237651078656752E-4</v>
      </c>
      <c r="D36">
        <f t="shared" si="9"/>
        <v>1.9124569494595592E-3</v>
      </c>
      <c r="E36">
        <f t="shared" si="9"/>
        <v>2.1195712850284694E-3</v>
      </c>
      <c r="F36">
        <f t="shared" si="9"/>
        <v>9.4741834429564551E-3</v>
      </c>
      <c r="G36">
        <f t="shared" si="9"/>
        <v>1.0179874111391639E-2</v>
      </c>
      <c r="H36">
        <f t="shared" si="9"/>
        <v>4.168862847967051E-2</v>
      </c>
      <c r="I36">
        <f t="shared" si="9"/>
        <v>5.4173385796297484E-2</v>
      </c>
      <c r="J36">
        <f t="shared" si="9"/>
        <v>0.22438886472379296</v>
      </c>
      <c r="K36">
        <f t="shared" si="9"/>
        <v>0.3403746097814776</v>
      </c>
    </row>
    <row r="37" spans="1:11" x14ac:dyDescent="0.4">
      <c r="A37" t="s">
        <v>33</v>
      </c>
      <c r="B37">
        <f t="shared" ref="B37:K37" si="10">B26/B15*100000</f>
        <v>3.4837000195469452E-4</v>
      </c>
      <c r="C37">
        <f t="shared" si="10"/>
        <v>2.5622806450918331E-4</v>
      </c>
      <c r="D37">
        <f t="shared" si="10"/>
        <v>1.4193086469857399E-3</v>
      </c>
      <c r="E37">
        <f t="shared" si="10"/>
        <v>1.3941148094548965E-3</v>
      </c>
      <c r="F37">
        <f t="shared" si="10"/>
        <v>1.0146537159319615E-2</v>
      </c>
      <c r="G37">
        <f t="shared" si="10"/>
        <v>7.3970509057436143E-3</v>
      </c>
      <c r="H37">
        <f t="shared" si="10"/>
        <v>3.2666204760731177E-2</v>
      </c>
      <c r="I37">
        <f t="shared" si="10"/>
        <v>3.3185381442735785E-2</v>
      </c>
      <c r="J37">
        <f t="shared" si="10"/>
        <v>0.10999011725088763</v>
      </c>
      <c r="K37">
        <f t="shared" si="10"/>
        <v>0.1919563058589871</v>
      </c>
    </row>
    <row r="38" spans="1:11" x14ac:dyDescent="0.4">
      <c r="A38" t="s">
        <v>35</v>
      </c>
      <c r="B38">
        <f t="shared" ref="B38:K38" si="11">B27/B16*100000</f>
        <v>7.5206701192580164E-4</v>
      </c>
      <c r="C38">
        <f t="shared" si="11"/>
        <v>5.879904978238629E-4</v>
      </c>
      <c r="D38">
        <f t="shared" si="11"/>
        <v>6.0090396199540064E-3</v>
      </c>
      <c r="E38">
        <f t="shared" si="11"/>
        <v>5.9915641689593782E-3</v>
      </c>
      <c r="F38">
        <f t="shared" si="11"/>
        <v>3.1328400719894935E-2</v>
      </c>
      <c r="G38">
        <f t="shared" si="11"/>
        <v>3.1250783987422752E-2</v>
      </c>
      <c r="H38">
        <f t="shared" si="11"/>
        <v>8.6439729496457465E-2</v>
      </c>
      <c r="I38">
        <f t="shared" si="11"/>
        <v>8.9873877968412688E-2</v>
      </c>
      <c r="J38">
        <f t="shared" si="11"/>
        <v>0.23869894237782641</v>
      </c>
      <c r="K38">
        <f t="shared" si="11"/>
        <v>0.32850304612706704</v>
      </c>
    </row>
    <row r="39" spans="1:11" x14ac:dyDescent="0.4">
      <c r="A39" t="s">
        <v>37</v>
      </c>
      <c r="B39">
        <f t="shared" ref="B39:K39" si="12">B28/B17*100000</f>
        <v>5.5359657550676958E-4</v>
      </c>
      <c r="C39">
        <f t="shared" si="12"/>
        <v>5.375451231983498E-4</v>
      </c>
      <c r="D39">
        <f t="shared" si="12"/>
        <v>4.9333684235710693E-3</v>
      </c>
      <c r="E39">
        <f t="shared" si="12"/>
        <v>4.7481510420174858E-3</v>
      </c>
      <c r="F39">
        <f t="shared" si="12"/>
        <v>1.656663504572874E-2</v>
      </c>
      <c r="G39">
        <f t="shared" si="12"/>
        <v>1.6644395210258511E-2</v>
      </c>
      <c r="H39">
        <f t="shared" si="12"/>
        <v>4.3724507431731771E-2</v>
      </c>
      <c r="I39">
        <f t="shared" si="12"/>
        <v>4.9538596381393601E-2</v>
      </c>
      <c r="J39">
        <f t="shared" si="12"/>
        <v>0.1470452198122951</v>
      </c>
      <c r="K39">
        <f t="shared" si="12"/>
        <v>0.14997891185153944</v>
      </c>
    </row>
    <row r="40" spans="1:11" x14ac:dyDescent="0.4">
      <c r="B40">
        <f>SUM(B34:B39)</f>
        <v>2.49239032312842E-3</v>
      </c>
      <c r="C40">
        <f t="shared" ref="C40:K40" si="13">SUM(C34:C39)</f>
        <v>2.1572851836461227E-3</v>
      </c>
      <c r="D40">
        <f t="shared" si="13"/>
        <v>1.7702403979110465E-2</v>
      </c>
      <c r="E40">
        <f t="shared" si="13"/>
        <v>1.7548756343555936E-2</v>
      </c>
      <c r="F40">
        <f t="shared" si="13"/>
        <v>8.1239073930840858E-2</v>
      </c>
      <c r="G40">
        <f t="shared" si="13"/>
        <v>7.9639926047975623E-2</v>
      </c>
      <c r="H40">
        <f t="shared" si="13"/>
        <v>0.24951583696400254</v>
      </c>
      <c r="I40">
        <f t="shared" si="13"/>
        <v>0.27932854571737598</v>
      </c>
      <c r="J40">
        <f t="shared" si="13"/>
        <v>0.91281880457168019</v>
      </c>
      <c r="K40">
        <f t="shared" si="13"/>
        <v>1.4319474995946933</v>
      </c>
    </row>
    <row r="41" spans="1:11" x14ac:dyDescent="0.4">
      <c r="B41">
        <f>B40/C40</f>
        <v>1.155336504428182</v>
      </c>
      <c r="C41">
        <f t="shared" ref="C41:K41" si="14">C40/D40</f>
        <v>0.12186396752620741</v>
      </c>
      <c r="D41">
        <f t="shared" si="14"/>
        <v>1.0087554714731082</v>
      </c>
      <c r="E41">
        <f t="shared" si="14"/>
        <v>0.21601374184170613</v>
      </c>
      <c r="F41">
        <f t="shared" si="14"/>
        <v>1.0200797258639078</v>
      </c>
      <c r="G41">
        <f t="shared" si="14"/>
        <v>0.31917784064129451</v>
      </c>
      <c r="H41">
        <f t="shared" si="14"/>
        <v>0.89327009641349764</v>
      </c>
      <c r="I41">
        <f t="shared" si="14"/>
        <v>0.30600656375439661</v>
      </c>
      <c r="J41">
        <f t="shared" si="14"/>
        <v>0.63746667027251325</v>
      </c>
      <c r="K41" t="e">
        <f t="shared" si="14"/>
        <v>#DIV/0!</v>
      </c>
    </row>
    <row r="42" spans="1:11" x14ac:dyDescent="0.4">
      <c r="B42">
        <f>B41+D41+F41+H41+J41</f>
        <v>4.7149084684512088</v>
      </c>
      <c r="C42">
        <f>B42/5</f>
        <v>0.94298169369024176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10</vt:lpstr>
      <vt:lpstr>20</vt:lpstr>
      <vt:lpstr>Sheet1</vt:lpstr>
      <vt:lpstr>30</vt:lpstr>
      <vt:lpstr>40</vt:lpstr>
      <vt:lpstr>50</vt:lpstr>
      <vt:lpstr>Sheet7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2018-07-10T04:53:48Z</dcterms:modified>
</cp:coreProperties>
</file>